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da734ccb954415" /></Relationships>
</file>

<file path=xl/workbook.xml><?xml version="1.0" encoding="utf-8"?>
<x:workbook xmlns:x="http://schemas.openxmlformats.org/spreadsheetml/2006/main">
  <x:sheets>
    <x:sheet xmlns:r="http://schemas.openxmlformats.org/officeDocument/2006/relationships" name="Review" sheetId="1" r:id="Re0da2772ed3f42d1"/>
    <x:sheet xmlns:r="http://schemas.openxmlformats.org/officeDocument/2006/relationships" name="Instructions" sheetId="2" r:id="R130a370aa47540d9"/>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4"/>
      <x:color rgb="FFFFFFFF"/>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F3F6F8"/>
      </x:patternFill>
    </x:fill>
    <x:fill>
      <x:patternFill patternType="solid">
        <x:fgColor rgb="FFFFF4CC"/>
      </x:patternFill>
    </x:fill>
    <x:fill>
      <x:patternFill patternType="solid">
        <x:fgColor rgb="FFD9EAF7"/>
      </x:patternFill>
    </x:fill>
  </x:fills>
  <x:borders count="26">
    <x:border/>
    <x:border/>
    <x:border>
      <x:right style="thin">
        <x:color rgb="FFFFFFFF"/>
      </x:right>
    </x:border>
    <x:border>
      <x:left style="thin">
        <x:color rgb="FFFFFFFF"/>
      </x:left>
      <x:right style="thin">
        <x:color rgb="FFFFFFFF"/>
      </x:right>
    </x:border>
    <x:border>
      <x:left style="thin">
        <x:color rgb="FFFFFFFF"/>
      </x:left>
    </x:border>
    <x:border>
      <x:right style="thin">
        <x:color rgb="FFFFFFFF"/>
      </x:right>
    </x:border>
    <x:border>
      <x:left style="thin">
        <x:color rgb="FFFFFFFF"/>
      </x:left>
      <x:right style="thin">
        <x:color rgb="FFFFFFFF"/>
      </x:right>
    </x:border>
    <x:border>
      <x:left style="thin">
        <x:color rgb="FFFFFFFF"/>
      </x:left>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0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2" fillId="2" borderId="7"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5" xfId="0" applyNumberFormat="1" applyFont="1" applyFill="1" applyBorder="1" applyAlignment="1">
      <x:alignment horizontal="center" wrapText="1"/>
    </x:xf>
    <x:xf numFmtId="0" fontId="2" fillId="2" borderId="6" xfId="0" applyNumberFormat="1" applyFont="1" applyFill="1" applyBorder="1" applyAlignment="1">
      <x:alignment horizontal="center" wrapText="1"/>
    </x:xf>
    <x:xf numFmtId="0" fontId="2" fillId="2" borderId="7"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x:xf numFmtId="0" fontId="1" fillId="3"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14" xfId="0" applyNumberFormat="1" applyFont="1" applyFill="1" applyBorder="1" applyAlignment="1">
      <x:alignment vertical="top"/>
    </x:xf>
    <x:xf numFmtId="0" fontId="1" fillId="3" borderId="15" xfId="0" applyNumberFormat="1" applyFont="1" applyFill="1" applyBorder="1" applyAlignment="1">
      <x:alignment vertical="top"/>
    </x:xf>
    <x:xf numFmtId="0" fontId="1" fillId="4" borderId="15" xfId="0" applyNumberFormat="1" applyFont="1" applyFill="1" applyBorder="1" applyAlignment="1">
      <x:alignment vertical="top"/>
    </x:xf>
    <x:xf numFmtId="0" fontId="1" fillId="4" borderId="16" xfId="0" applyNumberFormat="1" applyFont="1" applyFill="1" applyBorder="1" applyAlignment="1">
      <x:alignment vertical="top"/>
    </x:xf>
    <x:xf numFmtId="0" fontId="1" fillId="3" borderId="17" xfId="0" applyNumberFormat="1" applyFont="1" applyFill="1" applyBorder="1" applyAlignment="1">
      <x:alignment vertical="top"/>
    </x:xf>
    <x:xf numFmtId="0" fontId="1" fillId="3" borderId="18" xfId="0" applyNumberFormat="1" applyFont="1" applyFill="1" applyBorder="1" applyAlignment="1">
      <x:alignment vertical="top"/>
    </x:xf>
    <x:xf numFmtId="0" fontId="1" fillId="4" borderId="18" xfId="0" applyNumberFormat="1" applyFont="1" applyFill="1" applyBorder="1" applyAlignment="1">
      <x:alignment vertical="top"/>
    </x:xf>
    <x:xf numFmtId="0" fontId="1" fillId="4" borderId="19" xfId="0" applyNumberFormat="1" applyFont="1" applyFill="1" applyBorder="1" applyAlignment="1">
      <x:alignment vertical="top"/>
    </x:xf>
    <x:xf numFmtId="0" fontId="1" fillId="3" borderId="20" xfId="0" applyNumberFormat="1" applyFont="1" applyFill="1" applyBorder="1" applyAlignment="1">
      <x:alignment vertical="top"/>
    </x:xf>
    <x:xf numFmtId="0" fontId="1" fillId="3" borderId="21" xfId="0" applyNumberFormat="1" applyFont="1" applyFill="1" applyBorder="1" applyAlignment="1">
      <x:alignment vertical="top"/>
    </x:xf>
    <x:xf numFmtId="0" fontId="1" fillId="4" borderId="21" xfId="0" applyNumberFormat="1" applyFont="1" applyFill="1" applyBorder="1" applyAlignment="1">
      <x:alignment vertical="top"/>
    </x:xf>
    <x:xf numFmtId="0" fontId="1" fillId="4" borderId="22" xfId="0" applyNumberFormat="1" applyFont="1" applyFill="1" applyBorder="1" applyAlignment="1">
      <x:alignment vertical="top"/>
    </x:xf>
    <x:xf numFmtId="0" fontId="1" fillId="3" borderId="23" xfId="0" applyNumberFormat="1" applyFont="1" applyFill="1" applyBorder="1" applyAlignment="1">
      <x:alignment vertical="top"/>
    </x:xf>
    <x:xf numFmtId="0" fontId="1" fillId="3" borderId="24" xfId="0" applyNumberFormat="1" applyFont="1" applyFill="1" applyBorder="1" applyAlignment="1">
      <x:alignment vertical="top"/>
    </x:xf>
    <x:xf numFmtId="0" fontId="1" fillId="4" borderId="24" xfId="0" applyNumberFormat="1" applyFont="1" applyFill="1" applyBorder="1" applyAlignment="1">
      <x:alignment vertical="top"/>
    </x:xf>
    <x:xf numFmtId="0" fontId="1" fillId="4" borderId="25" xfId="0" applyNumberFormat="1" applyFont="1" applyFill="1" applyBorder="1" applyAlignment="1">
      <x:alignment vertical="top"/>
    </x:xf>
    <x:xf numFmtId="0" fontId="1" fillId="3" borderId="9"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3" borderId="18" xfId="0" applyNumberFormat="1" applyFont="1" applyFill="1" applyBorder="1" applyAlignment="1">
      <x:alignment vertical="top" wrapText="1"/>
    </x:xf>
    <x:xf numFmtId="0" fontId="1" fillId="3" borderId="21" xfId="0" applyNumberFormat="1" applyFont="1" applyFill="1" applyBorder="1" applyAlignment="1">
      <x:alignment vertical="top" wrapText="1"/>
    </x:xf>
    <x:xf numFmtId="0" fontId="1" fillId="3" borderId="24"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15" xfId="0" applyNumberFormat="1" applyFont="1" applyFill="1" applyBorder="1" applyAlignment="1">
      <x:alignment vertical="top" wrapText="1"/>
    </x:xf>
    <x:xf numFmtId="0" fontId="1" fillId="4" borderId="16" xfId="0" applyNumberFormat="1" applyFont="1" applyFill="1" applyBorder="1" applyAlignment="1">
      <x:alignment vertical="top" wrapText="1"/>
    </x:xf>
    <x:xf numFmtId="0" fontId="1" fillId="4" borderId="18" xfId="0" applyNumberFormat="1" applyFont="1" applyFill="1" applyBorder="1" applyAlignment="1">
      <x:alignment vertical="top" wrapText="1"/>
    </x:xf>
    <x:xf numFmtId="0" fontId="1" fillId="4" borderId="19" xfId="0" applyNumberFormat="1" applyFont="1" applyFill="1" applyBorder="1" applyAlignment="1">
      <x:alignment vertical="top" wrapText="1"/>
    </x:xf>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vertical="top"/>
    </x:xf>
    <x:xf numFmtId="0" fontId="4" fillId="5" borderId="1" xfId="0" applyNumberFormat="1" applyFont="1" applyFill="1" applyBorder="1" applyAlignment="1">
      <x:alignment vertical="top"/>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3" fillId="2" borderId="8" xfId="0" applyNumberFormat="1" applyFont="1" applyFill="1" applyBorder="1"/>
    <x:xf numFmtId="0" fontId="3" fillId="2" borderId="10" xfId="0" applyNumberFormat="1" applyFont="1" applyFill="1" applyBorder="1"/>
    <x:xf numFmtId="0" fontId="4" fillId="5" borderId="11" xfId="0" applyNumberFormat="1" applyFont="1" applyFill="1" applyBorder="1" applyAlignment="1">
      <x:alignment vertical="top"/>
    </x:xf>
    <x:xf numFmtId="0" fontId="1" fillId="0" borderId="13" xfId="0" applyNumberFormat="1" applyFont="1" applyFill="1" applyBorder="1" applyAlignment="1">
      <x:alignment vertical="top" wrapText="1"/>
    </x:xf>
    <x:xf numFmtId="0" fontId="4" fillId="5" borderId="14" xfId="0" applyNumberFormat="1" applyFont="1" applyFill="1" applyBorder="1" applyAlignment="1">
      <x:alignment vertical="top"/>
    </x:xf>
    <x:xf numFmtId="0" fontId="1"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9685138e594ef8" /><Relationship Type="http://schemas.openxmlformats.org/officeDocument/2006/relationships/theme" Target="/xl/theme/theme1.xml" Id="R9732fb79ab8b4e20" /><Relationship Type="http://schemas.openxmlformats.org/officeDocument/2006/relationships/sharedStrings" Target="/xl/sharedStrings.xml" Id="R410dfaf63b6e44d9" /><Relationship Type="http://schemas.openxmlformats.org/officeDocument/2006/relationships/worksheet" Target="/xl/worksheets/sheet1.xml" Id="Re0da2772ed3f42d1" /><Relationship Type="http://schemas.openxmlformats.org/officeDocument/2006/relationships/worksheet" Target="/xl/worksheets/sheet2.xml" Id="R130a370aa47540d9" /></Relationships>
</file>

<file path=xl/theme/theme1.xml><?xml version="1.0" encoding="utf-8"?>
<a:theme xmlns:a="http://schemas.openxmlformats.org/drawingml/2006/main" name="ChatGPT">
  <a:themeElements>
    <a:clrScheme name="DIR Stage D">
      <a:dk1>
        <a:srgbClr val="1F2937"/>
      </a:dk1>
      <a:lt1>
        <a:srgbClr val="FFFFFF"/>
      </a:lt1>
      <a:dk2>
        <a:srgbClr val="0E2841"/>
      </a:dk2>
      <a:lt2>
        <a:srgbClr val="F3F4F6"/>
      </a:lt2>
      <a:accent1>
        <a:srgbClr val="1F4E78"/>
      </a:accent1>
      <a:accent2>
        <a:srgbClr val="D9EAF7"/>
      </a:accent2>
      <a:accent3>
        <a:srgbClr val="196B24"/>
      </a:accent3>
      <a:accent4>
        <a:srgbClr val="0F9ED5"/>
      </a:accent4>
      <a:accent5>
        <a:srgbClr val="A02B93"/>
      </a:accent5>
      <a:accent6>
        <a:srgbClr val="4EA72E"/>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DIR Stage D">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44" hidden="0" customWidth="1"/>
    <x:col min="3" max="3" width="45" hidden="0" customWidth="1"/>
    <x:col min="4" max="4" width="45"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38" hidden="0" customWidth="1"/>
    <x:col min="15" max="15" width="38" hidden="0" customWidth="1"/>
  </x:cols>
  <x:sheetData>
    <x:row r="1" ht="30" customHeight="1">
      <x:c r="A1" s="26" t="str">
        <x:v>case_id</x:v>
      </x:c>
      <x:c r="B1" s="27" t="str">
        <x:v>case_details</x:v>
      </x:c>
      <x:c r="C1" s="27" t="str">
        <x:v>conversation_url</x:v>
      </x:c>
      <x:c r="D1" s="27" t="str">
        <x:v>pr_url</x:v>
      </x:c>
      <x:c r="E1" s="27" t="str">
        <x:v>first_generation_correct</x:v>
      </x:c>
      <x:c r="F1" s="27" t="str">
        <x:v>target_prompt_correct</x:v>
      </x:c>
      <x:c r="G1" s="27" t="str">
        <x:v>boundary_tFG_correct</x:v>
      </x:c>
      <x:c r="H1" s="27" t="str">
        <x:v>context_extraction</x:v>
      </x:c>
      <x:c r="I1" s="27" t="str">
        <x:v>specificity_extraction</x:v>
      </x:c>
      <x:c r="J1" s="27" t="str">
        <x:v>verification_extraction</x:v>
      </x:c>
      <x:c r="K1" s="27" t="str">
        <x:v>missing_information</x:v>
      </x:c>
      <x:c r="L1" s="27" t="str">
        <x:v>post_boundary_leakage</x:v>
      </x:c>
      <x:c r="M1" s="27" t="str">
        <x:v>overall_extraction</x:v>
      </x:c>
      <x:c r="N1" s="27" t="str">
        <x:v>correction_notes</x:v>
      </x:c>
      <x:c r="O1" s="28" t="str">
        <x:v>reviewer_notes</x:v>
      </x:c>
    </x:row>
    <x:row r="2" ht="30" customHeight="1">
      <x:c r="A2" s="40" t="str">
        <x:v>CASE_26F615E94B29</x:v>
      </x:c>
      <x:c r="B2" s="64" t="str">
        <x:f>HYPERLINK("cases/CASE_26F615E94B29.html","cases/stage_d/reviewer_A/cases/CASE_26F615E94B29.json")</x:f>
        <x:v>cases/stage_d/reviewer_A/cases/CASE_26F615E94B29.json</x:v>
      </x:c>
      <x:c r="C2" s="64" t="str">
        <x:f>HYPERLINK("https://chat.openai.com/share/9550ff9a-5077-459d-a35e-47c20890240e","https://chat.openai.com/share/9550ff9a-5077-459d-a35e-47c20890240e")</x:f>
        <x:v>https://chat.openai.com/share/9550ff9a-5077-459d-a35e-47c20890240e</x:v>
      </x:c>
      <x:c r="D2" s="64" t="str">
        <x:f>HYPERLINK("https://github.com/alcionai/corso/pull/4417","https://github.com/alcionai/corso/pull/4417")</x:f>
        <x:v>https://github.com/alcionai/corso/pull/4417</x:v>
      </x:c>
      <x:c r="E2" s="42" t="str"/>
      <x:c r="F2" s="42" t="str"/>
      <x:c r="G2" s="42" t="str"/>
      <x:c r="H2" s="42" t="str"/>
      <x:c r="I2" s="42" t="str"/>
      <x:c r="J2" s="42" t="str"/>
      <x:c r="K2" s="42" t="str"/>
      <x:c r="L2" s="42" t="str"/>
      <x:c r="M2" s="42" t="str"/>
      <x:c r="N2" s="70" t="str"/>
      <x:c r="O2" s="71" t="str"/>
    </x:row>
    <x:row r="3" ht="30" customHeight="1">
      <x:c r="A3" s="44" t="str">
        <x:v>CASE_1C3B62857D19</x:v>
      </x:c>
      <x:c r="B3" s="65" t="str">
        <x:f>HYPERLINK("cases/CASE_1C3B62857D19.html","cases/stage_d/reviewer_A/cases/CASE_1C3B62857D19.json")</x:f>
        <x:v>cases/stage_d/reviewer_A/cases/CASE_1C3B62857D19.json</x:v>
      </x:c>
      <x:c r="C3" s="65" t="str">
        <x:f>HYPERLINK("https://chat.openai.com/share/d7dbe641-4d5c-48db-8887-4260b04fa18e","https://chat.openai.com/share/d7dbe641-4d5c-48db-8887-4260b04fa18e")</x:f>
        <x:v>https://chat.openai.com/share/d7dbe641-4d5c-48db-8887-4260b04fa18e</x:v>
      </x:c>
      <x:c r="D3" s="65" t="str">
        <x:f>HYPERLINK("https://github.com/langroid/langroid/pull/301","https://github.com/langroid/langroid/pull/301")</x:f>
        <x:v>https://github.com/langroid/langroid/pull/301</x:v>
      </x:c>
      <x:c r="E3" s="46" t="str"/>
      <x:c r="F3" s="46" t="str"/>
      <x:c r="G3" s="46" t="str"/>
      <x:c r="H3" s="46" t="str"/>
      <x:c r="I3" s="46" t="str"/>
      <x:c r="J3" s="46" t="str"/>
      <x:c r="K3" s="46" t="str"/>
      <x:c r="L3" s="46" t="str"/>
      <x:c r="M3" s="46" t="str"/>
      <x:c r="N3" s="72" t="str"/>
      <x:c r="O3" s="73" t="str"/>
    </x:row>
    <x:row r="4" ht="30" customHeight="1">
      <x:c r="A4" s="44" t="str">
        <x:v>CASE_8A756AAC10B8</x:v>
      </x:c>
      <x:c r="B4" s="65" t="str">
        <x:f>HYPERLINK("cases/CASE_8A756AAC10B8.html","cases/stage_d/reviewer_A/cases/CASE_8A756AAC10B8.json")</x:f>
        <x:v>cases/stage_d/reviewer_A/cases/CASE_8A756AAC10B8.json</x:v>
      </x:c>
      <x:c r="C4" s="65" t="str">
        <x:f>HYPERLINK("https://chat.openai.com/share/e49e67a1-6caf-4448-abca-474b10e34acc","https://chat.openai.com/share/e49e67a1-6caf-4448-abca-474b10e34acc")</x:f>
        <x:v>https://chat.openai.com/share/e49e67a1-6caf-4448-abca-474b10e34acc</x:v>
      </x:c>
      <x:c r="D4" s="65" t="str">
        <x:f>HYPERLINK("https://github.com/itpplasma/libneo/pull/21","https://github.com/itpplasma/libneo/pull/21")</x:f>
        <x:v>https://github.com/itpplasma/libneo/pull/21</x:v>
      </x:c>
      <x:c r="E4" s="46" t="str"/>
      <x:c r="F4" s="46" t="str"/>
      <x:c r="G4" s="46" t="str"/>
      <x:c r="H4" s="46" t="str"/>
      <x:c r="I4" s="46" t="str"/>
      <x:c r="J4" s="46" t="str"/>
      <x:c r="K4" s="46" t="str"/>
      <x:c r="L4" s="46" t="str"/>
      <x:c r="M4" s="46" t="str"/>
      <x:c r="N4" s="72" t="str"/>
      <x:c r="O4" s="73" t="str"/>
    </x:row>
    <x:row r="5" ht="30" customHeight="1">
      <x:c r="A5" s="44" t="str">
        <x:v>CASE_7351FB1ECD56</x:v>
      </x:c>
      <x:c r="B5" s="65" t="str">
        <x:f>HYPERLINK("cases/CASE_7351FB1ECD56.html","cases/stage_d/reviewer_A/cases/CASE_7351FB1ECD56.json")</x:f>
        <x:v>cases/stage_d/reviewer_A/cases/CASE_7351FB1ECD56.json</x:v>
      </x:c>
      <x:c r="C5" s="65" t="str">
        <x:f>HYPERLINK("https://chat.openai.com/share/0c93321b-b553-430f-a06f-a6c82f56e4ee","https://chat.openai.com/share/0c93321b-b553-430f-a06f-a6c82f56e4ee")</x:f>
        <x:v>https://chat.openai.com/share/0c93321b-b553-430f-a06f-a6c82f56e4ee</x:v>
      </x:c>
      <x:c r="D5" s="65" t="str">
        <x:f>HYPERLINK("https://github.com/dust-tt/dust/pull/508","https://github.com/dust-tt/dust/pull/508")</x:f>
        <x:v>https://github.com/dust-tt/dust/pull/508</x:v>
      </x:c>
      <x:c r="E5" s="46" t="str"/>
      <x:c r="F5" s="46" t="str"/>
      <x:c r="G5" s="46" t="str"/>
      <x:c r="H5" s="46" t="str"/>
      <x:c r="I5" s="46" t="str"/>
      <x:c r="J5" s="46" t="str"/>
      <x:c r="K5" s="46" t="str"/>
      <x:c r="L5" s="46" t="str"/>
      <x:c r="M5" s="46" t="str"/>
      <x:c r="N5" s="72" t="str"/>
      <x:c r="O5" s="73" t="str"/>
    </x:row>
    <x:row r="6" ht="30" customHeight="1">
      <x:c r="A6" s="44" t="str">
        <x:v>CASE_50556C8D545F</x:v>
      </x:c>
      <x:c r="B6" s="65" t="str">
        <x:f>HYPERLINK("cases/CASE_50556C8D545F.html","cases/stage_d/reviewer_A/cases/CASE_50556C8D545F.json")</x:f>
        <x:v>cases/stage_d/reviewer_A/cases/CASE_50556C8D545F.json</x:v>
      </x:c>
      <x:c r="C6" s="65" t="str">
        <x:f>HYPERLINK("https://chat.openai.com/share/ea95f20d-b69c-47e3-96cc-5f7872077d53","https://chat.openai.com/share/ea95f20d-b69c-47e3-96cc-5f7872077d53")</x:f>
        <x:v>https://chat.openai.com/share/ea95f20d-b69c-47e3-96cc-5f7872077d53</x:v>
      </x:c>
      <x:c r="D6" s="65" t="str">
        <x:f>HYPERLINK("https://github.com/VOICEVOX/voicevox_core/pull/655","https://github.com/VOICEVOX/voicevox_core/pull/655")</x:f>
        <x:v>https://github.com/VOICEVOX/voicevox_core/pull/655</x:v>
      </x:c>
      <x:c r="E6" s="46" t="str"/>
      <x:c r="F6" s="46" t="str"/>
      <x:c r="G6" s="46" t="str"/>
      <x:c r="H6" s="46" t="str"/>
      <x:c r="I6" s="46" t="str"/>
      <x:c r="J6" s="46" t="str"/>
      <x:c r="K6" s="46" t="str"/>
      <x:c r="L6" s="46" t="str"/>
      <x:c r="M6" s="46" t="str"/>
      <x:c r="N6" s="72" t="str"/>
      <x:c r="O6" s="73" t="str"/>
    </x:row>
    <x:row r="7" ht="30" customHeight="1">
      <x:c r="A7" s="44" t="str">
        <x:v>CASE_9E4D3DF1CDB9</x:v>
      </x:c>
      <x:c r="B7" s="65" t="str">
        <x:f>HYPERLINK("cases/CASE_9E4D3DF1CDB9.html","cases/stage_d/reviewer_A/cases/CASE_9E4D3DF1CDB9.json")</x:f>
        <x:v>cases/stage_d/reviewer_A/cases/CASE_9E4D3DF1CDB9.json</x:v>
      </x:c>
      <x:c r="C7" s="65" t="str">
        <x:f>HYPERLINK("https://chat.openai.com/share/e9555822-4ffb-4845-8e40-0bc6cbbc658d","https://chat.openai.com/share/e9555822-4ffb-4845-8e40-0bc6cbbc658d")</x:f>
        <x:v>https://chat.openai.com/share/e9555822-4ffb-4845-8e40-0bc6cbbc658d</x:v>
      </x:c>
      <x:c r="D7" s="65" t="str">
        <x:f>HYPERLINK("https://github.com/laravel-json-api/core/pull/12","https://github.com/laravel-json-api/core/pull/12")</x:f>
        <x:v>https://github.com/laravel-json-api/core/pull/12</x:v>
      </x:c>
      <x:c r="E7" s="46" t="str"/>
      <x:c r="F7" s="46" t="str"/>
      <x:c r="G7" s="46" t="str"/>
      <x:c r="H7" s="46" t="str"/>
      <x:c r="I7" s="46" t="str"/>
      <x:c r="J7" s="46" t="str"/>
      <x:c r="K7" s="46" t="str"/>
      <x:c r="L7" s="46" t="str"/>
      <x:c r="M7" s="46" t="str"/>
      <x:c r="N7" s="72" t="str"/>
      <x:c r="O7" s="73" t="str"/>
    </x:row>
    <x:row r="8" ht="30" customHeight="1">
      <x:c r="A8" s="44" t="str">
        <x:v>CASE_978B83E2DF72</x:v>
      </x:c>
      <x:c r="B8" s="65" t="str">
        <x:f>HYPERLINK("cases/CASE_978B83E2DF72.html","cases/stage_d/reviewer_A/cases/CASE_978B83E2DF72.json")</x:f>
        <x:v>cases/stage_d/reviewer_A/cases/CASE_978B83E2DF72.json</x:v>
      </x:c>
      <x:c r="C8" s="65" t="str">
        <x:f>HYPERLINK("https://chat.openai.com/share/f7b28f24-d71f-4502-9fa9-0b79b0e7cc20","https://chat.openai.com/share/f7b28f24-d71f-4502-9fa9-0b79b0e7cc20")</x:f>
        <x:v>https://chat.openai.com/share/f7b28f24-d71f-4502-9fa9-0b79b0e7cc20</x:v>
      </x:c>
      <x:c r="D8" s="65" t="str">
        <x:f>HYPERLINK("https://github.com/BitBoxSwiss/bitbox-wallet-app/pull/2368","https://github.com/BitBoxSwiss/bitbox-wallet-app/pull/2368")</x:f>
        <x:v>https://github.com/BitBoxSwiss/bitbox-wallet-app/pull/2368</x:v>
      </x:c>
      <x:c r="E8" s="46" t="str"/>
      <x:c r="F8" s="46" t="str"/>
      <x:c r="G8" s="46" t="str"/>
      <x:c r="H8" s="46" t="str"/>
      <x:c r="I8" s="46" t="str"/>
      <x:c r="J8" s="46" t="str"/>
      <x:c r="K8" s="46" t="str"/>
      <x:c r="L8" s="46" t="str"/>
      <x:c r="M8" s="46" t="str"/>
      <x:c r="N8" s="72" t="str"/>
      <x:c r="O8" s="73" t="str"/>
    </x:row>
    <x:row r="9" ht="30" customHeight="1">
      <x:c r="A9" s="44" t="str">
        <x:v>CASE_188C69620856</x:v>
      </x:c>
      <x:c r="B9" s="65" t="str">
        <x:f>HYPERLINK("cases/CASE_188C69620856.html","cases/stage_d/reviewer_A/cases/CASE_188C69620856.json")</x:f>
        <x:v>cases/stage_d/reviewer_A/cases/CASE_188C69620856.json</x:v>
      </x:c>
      <x:c r="C9" s="65" t="str">
        <x:f>HYPERLINK("https://chat.openai.com/share/d0692ab8-4656-44bd-b06e-3c99511ac1fc","https://chat.openai.com/share/d0692ab8-4656-44bd-b06e-3c99511ac1fc")</x:f>
        <x:v>https://chat.openai.com/share/d0692ab8-4656-44bd-b06e-3c99511ac1fc</x:v>
      </x:c>
      <x:c r="D9" s="65" t="str">
        <x:f>HYPERLINK("https://github.com/Northeastern-Electric-Racing/FinishLine/pull/2021","https://github.com/Northeastern-Electric-Racing/FinishLine/pull/2021")</x:f>
        <x:v>https://github.com/Northeastern-Electric-Racing/FinishLine/pull/2021</x:v>
      </x:c>
      <x:c r="E9" s="46" t="str"/>
      <x:c r="F9" s="46" t="str"/>
      <x:c r="G9" s="46" t="str"/>
      <x:c r="H9" s="46" t="str"/>
      <x:c r="I9" s="46" t="str"/>
      <x:c r="J9" s="46" t="str"/>
      <x:c r="K9" s="46" t="str"/>
      <x:c r="L9" s="46" t="str"/>
      <x:c r="M9" s="46" t="str"/>
      <x:c r="N9" s="72" t="str"/>
      <x:c r="O9" s="73" t="str"/>
    </x:row>
    <x:row r="10" ht="30" customHeight="1">
      <x:c r="A10" s="44" t="str">
        <x:v>CASE_EE7F13CD9FB7</x:v>
      </x:c>
      <x:c r="B10" s="65" t="str">
        <x:f>HYPERLINK("cases/CASE_EE7F13CD9FB7.html","cases/stage_d/reviewer_A/cases/CASE_EE7F13CD9FB7.json")</x:f>
        <x:v>cases/stage_d/reviewer_A/cases/CASE_EE7F13CD9FB7.json</x:v>
      </x:c>
      <x:c r="C10" s="65" t="str">
        <x:f>HYPERLINK("https://chat.openai.com/share/809df2ba-1509-44a0-a231-e986a8a99321","https://chat.openai.com/share/809df2ba-1509-44a0-a231-e986a8a99321")</x:f>
        <x:v>https://chat.openai.com/share/809df2ba-1509-44a0-a231-e986a8a99321</x:v>
      </x:c>
      <x:c r="D10" s="65" t="str">
        <x:f>HYPERLINK("https://github.com/darklang/dark/pull/5058","https://github.com/darklang/dark/pull/5058")</x:f>
        <x:v>https://github.com/darklang/dark/pull/5058</x:v>
      </x:c>
      <x:c r="E10" s="46" t="str"/>
      <x:c r="F10" s="46" t="str"/>
      <x:c r="G10" s="46" t="str"/>
      <x:c r="H10" s="46" t="str"/>
      <x:c r="I10" s="46" t="str"/>
      <x:c r="J10" s="46" t="str"/>
      <x:c r="K10" s="46" t="str"/>
      <x:c r="L10" s="46" t="str"/>
      <x:c r="M10" s="46" t="str"/>
      <x:c r="N10" s="72" t="str"/>
      <x:c r="O10" s="73" t="str"/>
    </x:row>
    <x:row r="11" ht="30" customHeight="1">
      <x:c r="A11" s="44" t="str">
        <x:v>CASE_AD8C4F13A90B</x:v>
      </x:c>
      <x:c r="B11" s="65" t="str">
        <x:f>HYPERLINK("cases/CASE_AD8C4F13A90B.html","cases/stage_d/reviewer_A/cases/CASE_AD8C4F13A90B.json")</x:f>
        <x:v>cases/stage_d/reviewer_A/cases/CASE_AD8C4F13A90B.json</x:v>
      </x:c>
      <x:c r="C11" s="65" t="str">
        <x:f>HYPERLINK("https://chat.openai.com/share/08933117-0064-4de0-ae71-747550c00c55","https://chat.openai.com/share/08933117-0064-4de0-ae71-747550c00c55")</x:f>
        <x:v>https://chat.openai.com/share/08933117-0064-4de0-ae71-747550c00c55</x:v>
      </x:c>
      <x:c r="D11" s="65" t="str">
        <x:f>HYPERLINK("https://github.com/WordPress/gutenberg/pull/54172","https://github.com/WordPress/gutenberg/pull/54172")</x:f>
        <x:v>https://github.com/WordPress/gutenberg/pull/54172</x:v>
      </x:c>
      <x:c r="E11" s="46" t="str"/>
      <x:c r="F11" s="46" t="str"/>
      <x:c r="G11" s="46" t="str"/>
      <x:c r="H11" s="46" t="str"/>
      <x:c r="I11" s="46" t="str"/>
      <x:c r="J11" s="46" t="str"/>
      <x:c r="K11" s="46" t="str"/>
      <x:c r="L11" s="46" t="str"/>
      <x:c r="M11" s="46" t="str"/>
      <x:c r="N11" s="72" t="str"/>
      <x:c r="O11" s="73" t="str"/>
    </x:row>
    <x:row r="12" ht="30" customHeight="1">
      <x:c r="A12" s="44" t="str">
        <x:v>CASE_091B52A05DEF</x:v>
      </x:c>
      <x:c r="B12" s="65" t="str">
        <x:f>HYPERLINK("cases/CASE_091B52A05DEF.html","cases/stage_d/reviewer_A/cases/CASE_091B52A05DEF.json")</x:f>
        <x:v>cases/stage_d/reviewer_A/cases/CASE_091B52A05DEF.json</x:v>
      </x:c>
      <x:c r="C12" s="65" t="str">
        <x:f>HYPERLINK("https://chat.openai.com/share/d68981db-26e1-431c-841d-2bb31096c0c9","https://chat.openai.com/share/d68981db-26e1-431c-841d-2bb31096c0c9")</x:f>
        <x:v>https://chat.openai.com/share/d68981db-26e1-431c-841d-2bb31096c0c9</x:v>
      </x:c>
      <x:c r="D12" s="65" t="str">
        <x:f>HYPERLINK("https://github.com/pokt-network/poktroll/pull/185","https://github.com/pokt-network/poktroll/pull/185")</x:f>
        <x:v>https://github.com/pokt-network/poktroll/pull/185</x:v>
      </x:c>
      <x:c r="E12" s="46" t="str"/>
      <x:c r="F12" s="46" t="str"/>
      <x:c r="G12" s="46" t="str"/>
      <x:c r="H12" s="46" t="str"/>
      <x:c r="I12" s="46" t="str"/>
      <x:c r="J12" s="46" t="str"/>
      <x:c r="K12" s="46" t="str"/>
      <x:c r="L12" s="46" t="str"/>
      <x:c r="M12" s="46" t="str"/>
      <x:c r="N12" s="72" t="str"/>
      <x:c r="O12" s="73" t="str"/>
    </x:row>
    <x:row r="13" ht="30" customHeight="1">
      <x:c r="A13" s="44" t="str">
        <x:v>CASE_6C65BC36BF60</x:v>
      </x:c>
      <x:c r="B13" s="65" t="str">
        <x:f>HYPERLINK("cases/CASE_6C65BC36BF60.html","cases/stage_d/reviewer_A/cases/CASE_6C65BC36BF60.json")</x:f>
        <x:v>cases/stage_d/reviewer_A/cases/CASE_6C65BC36BF60.json</x:v>
      </x:c>
      <x:c r="C13" s="65" t="str">
        <x:f>HYPERLINK("https://chat.openai.com/share/c7183873-b4c6-4228-9279-0730c085ca1c","https://chat.openai.com/share/c7183873-b4c6-4228-9279-0730c085ca1c")</x:f>
        <x:v>https://chat.openai.com/share/c7183873-b4c6-4228-9279-0730c085ca1c</x:v>
      </x:c>
      <x:c r="D13" s="65" t="str">
        <x:f>HYPERLINK("https://github.com/EthicApp-Development/ethicapp-main/pull/301","https://github.com/EthicApp-Development/ethicapp-main/pull/301")</x:f>
        <x:v>https://github.com/EthicApp-Development/ethicapp-main/pull/301</x:v>
      </x:c>
      <x:c r="E13" s="46" t="str"/>
      <x:c r="F13" s="46" t="str"/>
      <x:c r="G13" s="46" t="str"/>
      <x:c r="H13" s="46" t="str"/>
      <x:c r="I13" s="46" t="str"/>
      <x:c r="J13" s="46" t="str"/>
      <x:c r="K13" s="46" t="str"/>
      <x:c r="L13" s="46" t="str"/>
      <x:c r="M13" s="46" t="str"/>
      <x:c r="N13" s="72" t="str"/>
      <x:c r="O13" s="73" t="str"/>
    </x:row>
    <x:row r="14" ht="30" customHeight="1">
      <x:c r="A14" s="44" t="str">
        <x:v>CASE_B9E914A3762C</x:v>
      </x:c>
      <x:c r="B14" s="65" t="str">
        <x:f>HYPERLINK("cases/CASE_B9E914A3762C.html","cases/stage_d/reviewer_A/cases/CASE_B9E914A3762C.json")</x:f>
        <x:v>cases/stage_d/reviewer_A/cases/CASE_B9E914A3762C.json</x:v>
      </x:c>
      <x:c r="C14" s="65" t="str">
        <x:f>HYPERLINK("https://chat.openai.com/share/b85618ff-b1c3-4c28-b36f-44d35556216c","https://chat.openai.com/share/b85618ff-b1c3-4c28-b36f-44d35556216c")</x:f>
        <x:v>https://chat.openai.com/share/b85618ff-b1c3-4c28-b36f-44d35556216c</x:v>
      </x:c>
      <x:c r="D14" s="65" t="str">
        <x:f>HYPERLINK("https://github.com/ory/elements/pull/171","https://github.com/ory/elements/pull/171")</x:f>
        <x:v>https://github.com/ory/elements/pull/171</x:v>
      </x:c>
      <x:c r="E14" s="46" t="str"/>
      <x:c r="F14" s="46" t="str"/>
      <x:c r="G14" s="46" t="str"/>
      <x:c r="H14" s="46" t="str"/>
      <x:c r="I14" s="46" t="str"/>
      <x:c r="J14" s="46" t="str"/>
      <x:c r="K14" s="46" t="str"/>
      <x:c r="L14" s="46" t="str"/>
      <x:c r="M14" s="46" t="str"/>
      <x:c r="N14" s="72" t="str"/>
      <x:c r="O14" s="73" t="str"/>
    </x:row>
    <x:row r="15" ht="30" customHeight="1">
      <x:c r="A15" s="44" t="str">
        <x:v>CASE_A4CDC94D210B</x:v>
      </x:c>
      <x:c r="B15" s="65" t="str">
        <x:f>HYPERLINK("cases/CASE_A4CDC94D210B.html","cases/stage_d/reviewer_A/cases/CASE_A4CDC94D210B.json")</x:f>
        <x:v>cases/stage_d/reviewer_A/cases/CASE_A4CDC94D210B.json</x:v>
      </x:c>
      <x:c r="C15" s="65" t="str">
        <x:f>HYPERLINK("https://chat.openai.com/share/48bd44b4-13a7-4ff8-9938-2214f0b17f6b","https://chat.openai.com/share/48bd44b4-13a7-4ff8-9938-2214f0b17f6b")</x:f>
        <x:v>https://chat.openai.com/share/48bd44b4-13a7-4ff8-9938-2214f0b17f6b</x:v>
      </x:c>
      <x:c r="D15" s="65" t="str">
        <x:f>HYPERLINK("https://github.com/viets-software-club/truffle-ai-backend/pull/52","https://github.com/viets-software-club/truffle-ai-backend/pull/52")</x:f>
        <x:v>https://github.com/viets-software-club/truffle-ai-backend/pull/52</x:v>
      </x:c>
      <x:c r="E15" s="46" t="str"/>
      <x:c r="F15" s="46" t="str"/>
      <x:c r="G15" s="46" t="str"/>
      <x:c r="H15" s="46" t="str"/>
      <x:c r="I15" s="46" t="str"/>
      <x:c r="J15" s="46" t="str"/>
      <x:c r="K15" s="46" t="str"/>
      <x:c r="L15" s="46" t="str"/>
      <x:c r="M15" s="46" t="str"/>
      <x:c r="N15" s="72" t="str"/>
      <x:c r="O15" s="73" t="str"/>
    </x:row>
    <x:row r="16" ht="30" customHeight="1">
      <x:c r="A16" s="44" t="str">
        <x:v>CASE_5C203B1DBF11</x:v>
      </x:c>
      <x:c r="B16" s="65" t="str">
        <x:f>HYPERLINK("cases/CASE_5C203B1DBF11.html","cases/stage_d/reviewer_A/cases/CASE_5C203B1DBF11.json")</x:f>
        <x:v>cases/stage_d/reviewer_A/cases/CASE_5C203B1DBF11.json</x:v>
      </x:c>
      <x:c r="C16" s="65" t="str">
        <x:f>HYPERLINK("https://chat.openai.com/share/fad5f67a-2f7e-45a4-a759-18e5b9aa44cb","https://chat.openai.com/share/fad5f67a-2f7e-45a4-a759-18e5b9aa44cb")</x:f>
        <x:v>https://chat.openai.com/share/fad5f67a-2f7e-45a4-a759-18e5b9aa44cb</x:v>
      </x:c>
      <x:c r="D16" s="65" t="str">
        <x:f>HYPERLINK("https://github.com/sveltejs/learn.svelte.dev/pull/522","https://github.com/sveltejs/learn.svelte.dev/pull/522")</x:f>
        <x:v>https://github.com/sveltejs/learn.svelte.dev/pull/522</x:v>
      </x:c>
      <x:c r="E16" s="46" t="str"/>
      <x:c r="F16" s="46" t="str"/>
      <x:c r="G16" s="46" t="str"/>
      <x:c r="H16" s="46" t="str"/>
      <x:c r="I16" s="46" t="str"/>
      <x:c r="J16" s="46" t="str"/>
      <x:c r="K16" s="46" t="str"/>
      <x:c r="L16" s="46" t="str"/>
      <x:c r="M16" s="46" t="str"/>
      <x:c r="N16" s="72" t="str"/>
      <x:c r="O16" s="73" t="str"/>
    </x:row>
    <x:row r="17" ht="30" customHeight="1">
      <x:c r="A17" s="44" t="str">
        <x:v>CASE_1FEA1F5DE7C1</x:v>
      </x:c>
      <x:c r="B17" s="65" t="str">
        <x:f>HYPERLINK("cases/CASE_1FEA1F5DE7C1.html","cases/stage_d/reviewer_A/cases/CASE_1FEA1F5DE7C1.json")</x:f>
        <x:v>cases/stage_d/reviewer_A/cases/CASE_1FEA1F5DE7C1.json</x:v>
      </x:c>
      <x:c r="C17" s="65" t="str">
        <x:f>HYPERLINK("https://chat.openai.com/share/4f37cdd1-acdb-4539-b134-9d7a54393a45","https://chat.openai.com/share/4f37cdd1-acdb-4539-b134-9d7a54393a45")</x:f>
        <x:v>https://chat.openai.com/share/4f37cdd1-acdb-4539-b134-9d7a54393a45</x:v>
      </x:c>
      <x:c r="D17" s="65" t="str">
        <x:f>HYPERLINK("https://github.com/box/developer.box.com/pull/533","https://github.com/box/developer.box.com/pull/533")</x:f>
        <x:v>https://github.com/box/developer.box.com/pull/533</x:v>
      </x:c>
      <x:c r="E17" s="46" t="str"/>
      <x:c r="F17" s="46" t="str"/>
      <x:c r="G17" s="46" t="str"/>
      <x:c r="H17" s="46" t="str"/>
      <x:c r="I17" s="46" t="str"/>
      <x:c r="J17" s="46" t="str"/>
      <x:c r="K17" s="46" t="str"/>
      <x:c r="L17" s="46" t="str"/>
      <x:c r="M17" s="46" t="str"/>
      <x:c r="N17" s="72" t="str"/>
      <x:c r="O17" s="73" t="str"/>
    </x:row>
    <x:row r="18" ht="30" customHeight="1">
      <x:c r="A18" s="44" t="str">
        <x:v>CASE_522F0F296F37</x:v>
      </x:c>
      <x:c r="B18" s="65" t="str">
        <x:f>HYPERLINK("cases/CASE_522F0F296F37.html","cases/stage_d/reviewer_A/cases/CASE_522F0F296F37.json")</x:f>
        <x:v>cases/stage_d/reviewer_A/cases/CASE_522F0F296F37.json</x:v>
      </x:c>
      <x:c r="C18" s="65" t="str">
        <x:f>HYPERLINK("https://chat.openai.com/share/1489a07a-5d1d-47f0-b35c-c7ba4138f2ff","https://chat.openai.com/share/1489a07a-5d1d-47f0-b35c-c7ba4138f2ff")</x:f>
        <x:v>https://chat.openai.com/share/1489a07a-5d1d-47f0-b35c-c7ba4138f2ff</x:v>
      </x:c>
      <x:c r="D18" s="65" t="str">
        <x:f>HYPERLINK("https://github.com/netdata/netdata/pull/15485","https://github.com/netdata/netdata/pull/15485")</x:f>
        <x:v>https://github.com/netdata/netdata/pull/15485</x:v>
      </x:c>
      <x:c r="E18" s="46" t="str"/>
      <x:c r="F18" s="46" t="str"/>
      <x:c r="G18" s="46" t="str"/>
      <x:c r="H18" s="46" t="str"/>
      <x:c r="I18" s="46" t="str"/>
      <x:c r="J18" s="46" t="str"/>
      <x:c r="K18" s="46" t="str"/>
      <x:c r="L18" s="46" t="str"/>
      <x:c r="M18" s="46" t="str"/>
      <x:c r="N18" s="72" t="str"/>
      <x:c r="O18" s="73" t="str"/>
    </x:row>
    <x:row r="19" ht="30" customHeight="1">
      <x:c r="A19" s="44" t="str">
        <x:v>CASE_AADA2C787EEE</x:v>
      </x:c>
      <x:c r="B19" s="65" t="str">
        <x:f>HYPERLINK("cases/CASE_AADA2C787EEE.html","cases/stage_d/reviewer_A/cases/CASE_AADA2C787EEE.json")</x:f>
        <x:v>cases/stage_d/reviewer_A/cases/CASE_AADA2C787EEE.json</x:v>
      </x:c>
      <x:c r="C19" s="65" t="str">
        <x:f>HYPERLINK("https://chat.openai.com/share/d072619d-6c1e-4f43-9549-711713cf33d9","https://chat.openai.com/share/d072619d-6c1e-4f43-9549-711713cf33d9")</x:f>
        <x:v>https://chat.openai.com/share/d072619d-6c1e-4f43-9549-711713cf33d9</x:v>
      </x:c>
      <x:c r="D19" s="65" t="str">
        <x:f>HYPERLINK("https://github.com/open-learning-exchange/myplanet/pull/2231","https://github.com/open-learning-exchange/myplanet/pull/2231")</x:f>
        <x:v>https://github.com/open-learning-exchange/myplanet/pull/2231</x:v>
      </x:c>
      <x:c r="E19" s="46" t="str"/>
      <x:c r="F19" s="46" t="str"/>
      <x:c r="G19" s="46" t="str"/>
      <x:c r="H19" s="46" t="str"/>
      <x:c r="I19" s="46" t="str"/>
      <x:c r="J19" s="46" t="str"/>
      <x:c r="K19" s="46" t="str"/>
      <x:c r="L19" s="46" t="str"/>
      <x:c r="M19" s="46" t="str"/>
      <x:c r="N19" s="72" t="str"/>
      <x:c r="O19" s="73" t="str"/>
    </x:row>
    <x:row r="20" ht="30" customHeight="1">
      <x:c r="A20" s="44" t="str">
        <x:v>CASE_5D45BE40E95A</x:v>
      </x:c>
      <x:c r="B20" s="65" t="str">
        <x:f>HYPERLINK("cases/CASE_5D45BE40E95A.html","cases/stage_d/reviewer_A/cases/CASE_5D45BE40E95A.json")</x:f>
        <x:v>cases/stage_d/reviewer_A/cases/CASE_5D45BE40E95A.json</x:v>
      </x:c>
      <x:c r="C20" s="65" t="str">
        <x:f>HYPERLINK("https://chat.openai.com/share/51f3aa63-d8aa-4ff7-aca1-608fcf9ab9ee","https://chat.openai.com/share/51f3aa63-d8aa-4ff7-aca1-608fcf9ab9ee")</x:f>
        <x:v>https://chat.openai.com/share/51f3aa63-d8aa-4ff7-aca1-608fcf9ab9ee</x:v>
      </x:c>
      <x:c r="D20" s="65" t="str">
        <x:f>HYPERLINK("https://github.com/nylas/nylas-python/pull/279","https://github.com/nylas/nylas-python/pull/279")</x:f>
        <x:v>https://github.com/nylas/nylas-python/pull/279</x:v>
      </x:c>
      <x:c r="E20" s="46" t="str"/>
      <x:c r="F20" s="46" t="str"/>
      <x:c r="G20" s="46" t="str"/>
      <x:c r="H20" s="46" t="str"/>
      <x:c r="I20" s="46" t="str"/>
      <x:c r="J20" s="46" t="str"/>
      <x:c r="K20" s="46" t="str"/>
      <x:c r="L20" s="46" t="str"/>
      <x:c r="M20" s="46" t="str"/>
      <x:c r="N20" s="72" t="str"/>
      <x:c r="O20" s="73" t="str"/>
    </x:row>
    <x:row r="21" ht="30" customHeight="1">
      <x:c r="A21" s="44" t="str">
        <x:v>CASE_3A639B473AED</x:v>
      </x:c>
      <x:c r="B21" s="65" t="str">
        <x:f>HYPERLINK("cases/CASE_3A639B473AED.html","cases/stage_d/reviewer_A/cases/CASE_3A639B473AED.json")</x:f>
        <x:v>cases/stage_d/reviewer_A/cases/CASE_3A639B473AED.json</x:v>
      </x:c>
      <x:c r="C21" s="65" t="str">
        <x:f>HYPERLINK("https://chat.openai.com/share/99718495-28d0-4382-ab5e-6a4a733c1ccb","https://chat.openai.com/share/99718495-28d0-4382-ab5e-6a4a733c1ccb")</x:f>
        <x:v>https://chat.openai.com/share/99718495-28d0-4382-ab5e-6a4a733c1ccb</x:v>
      </x:c>
      <x:c r="D21" s="65" t="str">
        <x:f>HYPERLINK("https://github.com/PrivateBin/PrivateBin/pull/1134","https://github.com/PrivateBin/PrivateBin/pull/1134")</x:f>
        <x:v>https://github.com/PrivateBin/PrivateBin/pull/1134</x:v>
      </x:c>
      <x:c r="E21" s="46" t="str"/>
      <x:c r="F21" s="46" t="str"/>
      <x:c r="G21" s="46" t="str"/>
      <x:c r="H21" s="46" t="str"/>
      <x:c r="I21" s="46" t="str"/>
      <x:c r="J21" s="46" t="str"/>
      <x:c r="K21" s="46" t="str"/>
      <x:c r="L21" s="46" t="str"/>
      <x:c r="M21" s="46" t="str"/>
      <x:c r="N21" s="72" t="str"/>
      <x:c r="O21" s="73" t="str"/>
    </x:row>
    <x:row r="22" ht="30" customHeight="1">
      <x:c r="A22" s="44" t="str">
        <x:v>CASE_F13F98792012</x:v>
      </x:c>
      <x:c r="B22" s="65" t="str">
        <x:f>HYPERLINK("cases/CASE_F13F98792012.html","cases/stage_d/reviewer_A/cases/CASE_F13F98792012.json")</x:f>
        <x:v>cases/stage_d/reviewer_A/cases/CASE_F13F98792012.json</x:v>
      </x:c>
      <x:c r="C22" s="65" t="str">
        <x:f>HYPERLINK("https://chat.openai.com/share/f59d66c4-fe99-4ad3-83cf-cf4ffab427bd","https://chat.openai.com/share/f59d66c4-fe99-4ad3-83cf-cf4ffab427bd")</x:f>
        <x:v>https://chat.openai.com/share/f59d66c4-fe99-4ad3-83cf-cf4ffab427bd</x:v>
      </x:c>
      <x:c r="D22" s="65" t="str">
        <x:f>HYPERLINK("https://github.com/polywrap/evo.ninja/pull/206","https://github.com/polywrap/evo.ninja/pull/206")</x:f>
        <x:v>https://github.com/polywrap/evo.ninja/pull/206</x:v>
      </x:c>
      <x:c r="E22" s="46" t="str"/>
      <x:c r="F22" s="46" t="str"/>
      <x:c r="G22" s="46" t="str"/>
      <x:c r="H22" s="46" t="str"/>
      <x:c r="I22" s="46" t="str"/>
      <x:c r="J22" s="46" t="str"/>
      <x:c r="K22" s="46" t="str"/>
      <x:c r="L22" s="46" t="str"/>
      <x:c r="M22" s="46" t="str"/>
      <x:c r="N22" s="72" t="str"/>
      <x:c r="O22" s="73" t="str"/>
    </x:row>
    <x:row r="23" ht="30" customHeight="1">
      <x:c r="A23" s="44" t="str">
        <x:v>CASE_194F3A461B65</x:v>
      </x:c>
      <x:c r="B23" s="65" t="str">
        <x:f>HYPERLINK("cases/CASE_194F3A461B65.html","cases/stage_d/reviewer_A/cases/CASE_194F3A461B65.json")</x:f>
        <x:v>cases/stage_d/reviewer_A/cases/CASE_194F3A461B65.json</x:v>
      </x:c>
      <x:c r="C23" s="65" t="str">
        <x:f>HYPERLINK("https://chat.openai.com/share/88524905-a324-4a6c-b54e-96d26ad06def","https://chat.openai.com/share/88524905-a324-4a6c-b54e-96d26ad06def")</x:f>
        <x:v>https://chat.openai.com/share/88524905-a324-4a6c-b54e-96d26ad06def</x:v>
      </x:c>
      <x:c r="D23" s="65" t="str">
        <x:f>HYPERLINK("https://github.com/VOICEVOX/voicevox/pull/1836","https://github.com/VOICEVOX/voicevox/pull/1836")</x:f>
        <x:v>https://github.com/VOICEVOX/voicevox/pull/1836</x:v>
      </x:c>
      <x:c r="E23" s="46" t="str"/>
      <x:c r="F23" s="46" t="str"/>
      <x:c r="G23" s="46" t="str"/>
      <x:c r="H23" s="46" t="str"/>
      <x:c r="I23" s="46" t="str"/>
      <x:c r="J23" s="46" t="str"/>
      <x:c r="K23" s="46" t="str"/>
      <x:c r="L23" s="46" t="str"/>
      <x:c r="M23" s="46" t="str"/>
      <x:c r="N23" s="72" t="str"/>
      <x:c r="O23" s="73" t="str"/>
    </x:row>
    <x:row r="24" ht="30" customHeight="1">
      <x:c r="A24" s="44" t="str">
        <x:v>CASE_C95F69523646</x:v>
      </x:c>
      <x:c r="B24" s="65" t="str">
        <x:f>HYPERLINK("cases/CASE_C95F69523646.html","cases/stage_d/reviewer_A/cases/CASE_C95F69523646.json")</x:f>
        <x:v>cases/stage_d/reviewer_A/cases/CASE_C95F69523646.json</x:v>
      </x:c>
      <x:c r="C24" s="65" t="str">
        <x:f>HYPERLINK("https://chat.openai.com/share/9437d9ca-6365-4070-b11b-9c31cede7a2a","https://chat.openai.com/share/9437d9ca-6365-4070-b11b-9c31cede7a2a")</x:f>
        <x:v>https://chat.openai.com/share/9437d9ca-6365-4070-b11b-9c31cede7a2a</x:v>
      </x:c>
      <x:c r="D24" s="65" t="str">
        <x:f>HYPERLINK("https://github.com/codeigniter4/CodeIgniter4/pull/8230","https://github.com/codeigniter4/CodeIgniter4/pull/8230")</x:f>
        <x:v>https://github.com/codeigniter4/CodeIgniter4/pull/8230</x:v>
      </x:c>
      <x:c r="E24" s="46" t="str"/>
      <x:c r="F24" s="46" t="str"/>
      <x:c r="G24" s="46" t="str"/>
      <x:c r="H24" s="46" t="str"/>
      <x:c r="I24" s="46" t="str"/>
      <x:c r="J24" s="46" t="str"/>
      <x:c r="K24" s="46" t="str"/>
      <x:c r="L24" s="46" t="str"/>
      <x:c r="M24" s="46" t="str"/>
      <x:c r="N24" s="72" t="str"/>
      <x:c r="O24" s="73" t="str"/>
    </x:row>
    <x:row r="25" ht="30" customHeight="1">
      <x:c r="A25" s="44" t="str">
        <x:v>CASE_A1DC1299D73A</x:v>
      </x:c>
      <x:c r="B25" s="65" t="str">
        <x:f>HYPERLINK("cases/CASE_A1DC1299D73A.html","cases/stage_d/reviewer_A/cases/CASE_A1DC1299D73A.json")</x:f>
        <x:v>cases/stage_d/reviewer_A/cases/CASE_A1DC1299D73A.json</x:v>
      </x:c>
      <x:c r="C25" s="65" t="str">
        <x:f>HYPERLINK("https://chat.openai.com/share/02544161-0bdf-4b7e-8644-18d39aa174ff","https://chat.openai.com/share/02544161-0bdf-4b7e-8644-18d39aa174ff")</x:f>
        <x:v>https://chat.openai.com/share/02544161-0bdf-4b7e-8644-18d39aa174ff</x:v>
      </x:c>
      <x:c r="D25" s="65" t="str">
        <x:f>HYPERLINK("https://github.com/UNLV-CS472-672/2024-S-GROUP1-Roadwatch/pull/120","https://github.com/UNLV-CS472-672/2024-S-GROUP1-Roadwatch/pull/120")</x:f>
        <x:v>https://github.com/UNLV-CS472-672/2024-S-GROUP1-Roadwatch/pull/120</x:v>
      </x:c>
      <x:c r="E25" s="46" t="str"/>
      <x:c r="F25" s="46" t="str"/>
      <x:c r="G25" s="46" t="str"/>
      <x:c r="H25" s="46" t="str"/>
      <x:c r="I25" s="46" t="str"/>
      <x:c r="J25" s="46" t="str"/>
      <x:c r="K25" s="46" t="str"/>
      <x:c r="L25" s="46" t="str"/>
      <x:c r="M25" s="46" t="str"/>
      <x:c r="N25" s="72" t="str"/>
      <x:c r="O25" s="73" t="str"/>
    </x:row>
    <x:row r="26" ht="30" customHeight="1">
      <x:c r="A26" s="44" t="str">
        <x:v>CASE_6C2918844CE5</x:v>
      </x:c>
      <x:c r="B26" s="65" t="str">
        <x:f>HYPERLINK("cases/CASE_6C2918844CE5.html","cases/stage_d/reviewer_A/cases/CASE_6C2918844CE5.json")</x:f>
        <x:v>cases/stage_d/reviewer_A/cases/CASE_6C2918844CE5.json</x:v>
      </x:c>
      <x:c r="C26" s="65" t="str">
        <x:f>HYPERLINK("https://chat.openai.com/share/e3e3871f-4acd-4959-94a3-d260c84f8ede","https://chat.openai.com/share/e3e3871f-4acd-4959-94a3-d260c84f8ede")</x:f>
        <x:v>https://chat.openai.com/share/e3e3871f-4acd-4959-94a3-d260c84f8ede</x:v>
      </x:c>
      <x:c r="D26" s="65" t="str">
        <x:f>HYPERLINK("https://github.com/uchicago-cs/chigame/pull/265","https://github.com/uchicago-cs/chigame/pull/265")</x:f>
        <x:v>https://github.com/uchicago-cs/chigame/pull/265</x:v>
      </x:c>
      <x:c r="E26" s="46" t="str"/>
      <x:c r="F26" s="46" t="str"/>
      <x:c r="G26" s="46" t="str"/>
      <x:c r="H26" s="46" t="str"/>
      <x:c r="I26" s="46" t="str"/>
      <x:c r="J26" s="46" t="str"/>
      <x:c r="K26" s="46" t="str"/>
      <x:c r="L26" s="46" t="str"/>
      <x:c r="M26" s="46" t="str"/>
      <x:c r="N26" s="72" t="str"/>
      <x:c r="O26" s="73" t="str"/>
    </x:row>
    <x:row r="27" ht="30" customHeight="1">
      <x:c r="A27" s="44" t="str">
        <x:v>CASE_CDFEF66FCEAA</x:v>
      </x:c>
      <x:c r="B27" s="65" t="str">
        <x:f>HYPERLINK("cases/CASE_CDFEF66FCEAA.html","cases/stage_d/reviewer_A/cases/CASE_CDFEF66FCEAA.json")</x:f>
        <x:v>cases/stage_d/reviewer_A/cases/CASE_CDFEF66FCEAA.json</x:v>
      </x:c>
      <x:c r="C27" s="65" t="str">
        <x:f>HYPERLINK("https://chat.openai.com/share/ca2eab25-4e1e-4688-9be5-43a179a0ec4f","https://chat.openai.com/share/ca2eab25-4e1e-4688-9be5-43a179a0ec4f")</x:f>
        <x:v>https://chat.openai.com/share/ca2eab25-4e1e-4688-9be5-43a179a0ec4f</x:v>
      </x:c>
      <x:c r="D27" s="65" t="str">
        <x:f>HYPERLINK("https://github.com/SSWConsulting/SSW.Website/pull/931","https://github.com/SSWConsulting/SSW.Website/pull/931")</x:f>
        <x:v>https://github.com/SSWConsulting/SSW.Website/pull/931</x:v>
      </x:c>
      <x:c r="E27" s="46" t="str"/>
      <x:c r="F27" s="46" t="str"/>
      <x:c r="G27" s="46" t="str"/>
      <x:c r="H27" s="46" t="str"/>
      <x:c r="I27" s="46" t="str"/>
      <x:c r="J27" s="46" t="str"/>
      <x:c r="K27" s="46" t="str"/>
      <x:c r="L27" s="46" t="str"/>
      <x:c r="M27" s="46" t="str"/>
      <x:c r="N27" s="72" t="str"/>
      <x:c r="O27" s="73" t="str"/>
    </x:row>
    <x:row r="28" ht="30" customHeight="1">
      <x:c r="A28" s="44" t="str">
        <x:v>CASE_DBFC2CC31FE4</x:v>
      </x:c>
      <x:c r="B28" s="65" t="str">
        <x:f>HYPERLINK("cases/CASE_DBFC2CC31FE4.html","cases/stage_d/reviewer_A/cases/CASE_DBFC2CC31FE4.json")</x:f>
        <x:v>cases/stage_d/reviewer_A/cases/CASE_DBFC2CC31FE4.json</x:v>
      </x:c>
      <x:c r="C28" s="65" t="str">
        <x:f>HYPERLINK("https://chat.openai.com/share/16789f4e-aa4b-4baa-bef3-eab3170ab67d","https://chat.openai.com/share/16789f4e-aa4b-4baa-bef3-eab3170ab67d")</x:f>
        <x:v>https://chat.openai.com/share/16789f4e-aa4b-4baa-bef3-eab3170ab67d</x:v>
      </x:c>
      <x:c r="D28" s="65" t="str">
        <x:f>HYPERLINK("https://github.com/VOICEVOX/voicevox_engine/pull/1122","https://github.com/VOICEVOX/voicevox_engine/pull/1122")</x:f>
        <x:v>https://github.com/VOICEVOX/voicevox_engine/pull/1122</x:v>
      </x:c>
      <x:c r="E28" s="46" t="str"/>
      <x:c r="F28" s="46" t="str"/>
      <x:c r="G28" s="46" t="str"/>
      <x:c r="H28" s="46" t="str"/>
      <x:c r="I28" s="46" t="str"/>
      <x:c r="J28" s="46" t="str"/>
      <x:c r="K28" s="46" t="str"/>
      <x:c r="L28" s="46" t="str"/>
      <x:c r="M28" s="46" t="str"/>
      <x:c r="N28" s="72" t="str"/>
      <x:c r="O28" s="73" t="str"/>
    </x:row>
    <x:row r="29" ht="30" customHeight="1">
      <x:c r="A29" s="44" t="str">
        <x:v>CASE_E6ADDBF1751F</x:v>
      </x:c>
      <x:c r="B29" s="65" t="str">
        <x:f>HYPERLINK("cases/CASE_E6ADDBF1751F.html","cases/stage_d/reviewer_A/cases/CASE_E6ADDBF1751F.json")</x:f>
        <x:v>cases/stage_d/reviewer_A/cases/CASE_E6ADDBF1751F.json</x:v>
      </x:c>
      <x:c r="C29" s="65" t="str">
        <x:f>HYPERLINK("https://chat.openai.com/share/eefd3861-16f7-4850-ac63-998784264c7b","https://chat.openai.com/share/eefd3861-16f7-4850-ac63-998784264c7b")</x:f>
        <x:v>https://chat.openai.com/share/eefd3861-16f7-4850-ac63-998784264c7b</x:v>
      </x:c>
      <x:c r="D29" s="65" t="str">
        <x:f>HYPERLINK("https://github.com/netket/netket/pull/1631","https://github.com/netket/netket/pull/1631")</x:f>
        <x:v>https://github.com/netket/netket/pull/1631</x:v>
      </x:c>
      <x:c r="E29" s="46" t="str"/>
      <x:c r="F29" s="46" t="str"/>
      <x:c r="G29" s="46" t="str"/>
      <x:c r="H29" s="46" t="str"/>
      <x:c r="I29" s="46" t="str"/>
      <x:c r="J29" s="46" t="str"/>
      <x:c r="K29" s="46" t="str"/>
      <x:c r="L29" s="46" t="str"/>
      <x:c r="M29" s="46" t="str"/>
      <x:c r="N29" s="72" t="str"/>
      <x:c r="O29" s="73" t="str"/>
    </x:row>
    <x:row r="30" ht="30" customHeight="1">
      <x:c r="A30" s="44" t="str">
        <x:v>CASE_3E3A525883BA</x:v>
      </x:c>
      <x:c r="B30" s="65" t="str">
        <x:f>HYPERLINK("cases/CASE_3E3A525883BA.html","cases/stage_d/reviewer_A/cases/CASE_3E3A525883BA.json")</x:f>
        <x:v>cases/stage_d/reviewer_A/cases/CASE_3E3A525883BA.json</x:v>
      </x:c>
      <x:c r="C30" s="65" t="str">
        <x:f>HYPERLINK("https://chat.openai.com/share/85e06c91-586d-4872-835e-1ef91a69e56f","https://chat.openai.com/share/85e06c91-586d-4872-835e-1ef91a69e56f")</x:f>
        <x:v>https://chat.openai.com/share/85e06c91-586d-4872-835e-1ef91a69e56f</x:v>
      </x:c>
      <x:c r="D30" s="65" t="str">
        <x:f>HYPERLINK("https://github.com/VOICEVOX/voicevox/pull/1621","https://github.com/VOICEVOX/voicevox/pull/1621")</x:f>
        <x:v>https://github.com/VOICEVOX/voicevox/pull/1621</x:v>
      </x:c>
      <x:c r="E30" s="46" t="str"/>
      <x:c r="F30" s="46" t="str"/>
      <x:c r="G30" s="46" t="str"/>
      <x:c r="H30" s="46" t="str"/>
      <x:c r="I30" s="46" t="str"/>
      <x:c r="J30" s="46" t="str"/>
      <x:c r="K30" s="46" t="str"/>
      <x:c r="L30" s="46" t="str"/>
      <x:c r="M30" s="46" t="str"/>
      <x:c r="N30" s="72" t="str"/>
      <x:c r="O30" s="73" t="str"/>
    </x:row>
    <x:row r="31" ht="30" customHeight="1">
      <x:c r="A31" s="44" t="str">
        <x:v>CASE_0ECE0C32A4BB</x:v>
      </x:c>
      <x:c r="B31" s="65" t="str">
        <x:f>HYPERLINK("cases/CASE_0ECE0C32A4BB.html","cases/stage_d/reviewer_A/cases/CASE_0ECE0C32A4BB.json")</x:f>
        <x:v>cases/stage_d/reviewer_A/cases/CASE_0ECE0C32A4BB.json</x:v>
      </x:c>
      <x:c r="C31" s="65" t="str">
        <x:f>HYPERLINK("https://chat.openai.com/share/1e410029-c111-4fde-be74-6c4e792d0722","https://chat.openai.com/share/1e410029-c111-4fde-be74-6c4e792d0722")</x:f>
        <x:v>https://chat.openai.com/share/1e410029-c111-4fde-be74-6c4e792d0722</x:v>
      </x:c>
      <x:c r="D31" s="65" t="str">
        <x:f>HYPERLINK("https://github.com/StuartGavidia/businessapp/pull/35","https://github.com/StuartGavidia/businessapp/pull/35")</x:f>
        <x:v>https://github.com/StuartGavidia/businessapp/pull/35</x:v>
      </x:c>
      <x:c r="E31" s="46" t="str"/>
      <x:c r="F31" s="46" t="str"/>
      <x:c r="G31" s="46" t="str"/>
      <x:c r="H31" s="46" t="str"/>
      <x:c r="I31" s="46" t="str"/>
      <x:c r="J31" s="46" t="str"/>
      <x:c r="K31" s="46" t="str"/>
      <x:c r="L31" s="46" t="str"/>
      <x:c r="M31" s="46" t="str"/>
      <x:c r="N31" s="72" t="str"/>
      <x:c r="O31" s="73" t="str"/>
    </x:row>
    <x:row r="32" ht="30" customHeight="1">
      <x:c r="A32" s="44" t="str">
        <x:v>CASE_34D14D6B0BB7</x:v>
      </x:c>
      <x:c r="B32" s="65" t="str">
        <x:f>HYPERLINK("cases/CASE_34D14D6B0BB7.html","cases/stage_d/reviewer_A/cases/CASE_34D14D6B0BB7.json")</x:f>
        <x:v>cases/stage_d/reviewer_A/cases/CASE_34D14D6B0BB7.json</x:v>
      </x:c>
      <x:c r="C32" s="65" t="str">
        <x:f>HYPERLINK("https://chat.openai.com/share/2bd66613-5dc1-427e-9277-fb45b317438a","https://chat.openai.com/share/2bd66613-5dc1-427e-9277-fb45b317438a")</x:f>
        <x:v>https://chat.openai.com/share/2bd66613-5dc1-427e-9277-fb45b317438a</x:v>
      </x:c>
      <x:c r="D32" s="65" t="str">
        <x:f>HYPERLINK("https://github.com/pyspark-ai/pyspark-ai/pull/157","https://github.com/pyspark-ai/pyspark-ai/pull/157")</x:f>
        <x:v>https://github.com/pyspark-ai/pyspark-ai/pull/157</x:v>
      </x:c>
      <x:c r="E32" s="46" t="str"/>
      <x:c r="F32" s="46" t="str"/>
      <x:c r="G32" s="46" t="str"/>
      <x:c r="H32" s="46" t="str"/>
      <x:c r="I32" s="46" t="str"/>
      <x:c r="J32" s="46" t="str"/>
      <x:c r="K32" s="46" t="str"/>
      <x:c r="L32" s="46" t="str"/>
      <x:c r="M32" s="46" t="str"/>
      <x:c r="N32" s="72" t="str"/>
      <x:c r="O32" s="73" t="str"/>
    </x:row>
    <x:row r="33" ht="30" customHeight="1">
      <x:c r="A33" s="44" t="str">
        <x:v>CASE_5FC257622E18</x:v>
      </x:c>
      <x:c r="B33" s="65" t="str">
        <x:f>HYPERLINK("cases/CASE_5FC257622E18.html","cases/stage_d/reviewer_A/cases/CASE_5FC257622E18.json")</x:f>
        <x:v>cases/stage_d/reviewer_A/cases/CASE_5FC257622E18.json</x:v>
      </x:c>
      <x:c r="C33" s="65" t="str">
        <x:f>HYPERLINK("https://chat.openai.com/share/944c67d3-555e-4524-b2f0-81481f9cd5ba","https://chat.openai.com/share/944c67d3-555e-4524-b2f0-81481f9cd5ba")</x:f>
        <x:v>https://chat.openai.com/share/944c67d3-555e-4524-b2f0-81481f9cd5ba</x:v>
      </x:c>
      <x:c r="D33" s="65" t="str">
        <x:f>HYPERLINK("https://github.com/MrNeRF/gaussian-splatting-cuda/pull/23","https://github.com/MrNeRF/gaussian-splatting-cuda/pull/23")</x:f>
        <x:v>https://github.com/MrNeRF/gaussian-splatting-cuda/pull/23</x:v>
      </x:c>
      <x:c r="E33" s="46" t="str"/>
      <x:c r="F33" s="46" t="str"/>
      <x:c r="G33" s="46" t="str"/>
      <x:c r="H33" s="46" t="str"/>
      <x:c r="I33" s="46" t="str"/>
      <x:c r="J33" s="46" t="str"/>
      <x:c r="K33" s="46" t="str"/>
      <x:c r="L33" s="46" t="str"/>
      <x:c r="M33" s="46" t="str"/>
      <x:c r="N33" s="72" t="str"/>
      <x:c r="O33" s="73" t="str"/>
    </x:row>
    <x:row r="34" ht="30" customHeight="1">
      <x:c r="A34" s="48" t="str">
        <x:v>CASE_A0301CC135FC</x:v>
      </x:c>
      <x:c r="B34" s="66" t="str">
        <x:f>HYPERLINK("cases/CASE_A0301CC135FC.html","cases/stage_d/reviewer_A/cases/CASE_A0301CC135FC.json")</x:f>
        <x:v>cases/stage_d/reviewer_A/cases/CASE_A0301CC135FC.json</x:v>
      </x:c>
      <x:c r="C34" s="66" t="str">
        <x:f>HYPERLINK("https://chat.openai.com/share/be37cf76-8d76-4db7-a056-129e216f0fad","https://chat.openai.com/share/be37cf76-8d76-4db7-a056-129e216f0fad")</x:f>
        <x:v>https://chat.openai.com/share/be37cf76-8d76-4db7-a056-129e216f0fad</x:v>
      </x:c>
      <x:c r="D34" s="66" t="str">
        <x:f>HYPERLINK("https://github.com/jaoafa/VCSpeaker.kt/pull/70","https://github.com/jaoafa/VCSpeaker.kt/pull/70")</x:f>
        <x:v>https://github.com/jaoafa/VCSpeaker.kt/pull/70</x:v>
      </x:c>
      <x:c r="E34" s="50" t="str"/>
      <x:c r="F34" s="50" t="str"/>
      <x:c r="G34" s="50" t="str"/>
      <x:c r="H34" s="50" t="str"/>
      <x:c r="I34" s="50" t="str"/>
      <x:c r="J34" s="50" t="str"/>
      <x:c r="K34" s="50" t="str"/>
      <x:c r="L34" s="50" t="str"/>
      <x:c r="M34" s="50" t="str"/>
      <x:c r="N34" s="74" t="str"/>
      <x:c r="O34" s="75" t="str"/>
    </x:row>
  </x:sheetData>
  <x:dataValidations count="9">
    <x:dataValidation type="list" sqref="E2:E34">
      <x:formula1>"yes,no,uncertain"</x:formula1>
    </x:dataValidation>
    <x:dataValidation type="list" sqref="F2:F34">
      <x:formula1>"yes,no,uncertain"</x:formula1>
    </x:dataValidation>
    <x:dataValidation type="list" sqref="G2:G34">
      <x:formula1>"yes,no,uncertain"</x:formula1>
    </x:dataValidation>
    <x:dataValidation type="list" sqref="H2:H34">
      <x:formula1>"correct,partially_correct,incorrect,uncertain"</x:formula1>
    </x:dataValidation>
    <x:dataValidation type="list" sqref="I2:I34">
      <x:formula1>"correct,partially_correct,incorrect,uncertain"</x:formula1>
    </x:dataValidation>
    <x:dataValidation type="list" sqref="J2:J34">
      <x:formula1>"correct,partially_correct,incorrect,uncertain"</x:formula1>
    </x:dataValidation>
    <x:dataValidation type="list" sqref="K2:K34">
      <x:formula1>"none,context,specificity,verification,multiple,uncertain"</x:formula1>
    </x:dataValidation>
    <x:dataValidation type="list" sqref="L2:L34">
      <x:formula1>"no,yes,uncertain"</x:formula1>
    </x:dataValidation>
    <x:dataValidation type="list" sqref="M2:M34">
      <x:formula1>"correct,needs_correction,uncertain"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ht="34" customHeight="1">
      <x:c r="A1" s="94" t="str">
        <x:v>Stage D human validation</x:v>
      </x:c>
      <x:c r="B1" s="95" t="str">
        <x:v>Frozen blank reviewer instrument generated from the canonical CSV.</x:v>
      </x:c>
    </x:row>
    <x:row r="2" ht="34" customHeight="1">
      <x:c r="A2" s="96" t="str">
        <x:v>Primary evidence</x:v>
      </x:c>
      <x:c r="B2" s="97" t="str">
        <x:v>case_details is the primary Stage D evidence package.</x:v>
      </x:c>
    </x:row>
    <x:row r="3" ht="34" customHeight="1">
      <x:c r="A3" s="96" t="str">
        <x:v>Conversation boundary</x:v>
      </x:c>
      <x:c r="B3" s="97" t="str">
        <x:v>Only pre-boundary conversation information is admissible for Context, Specificity, and Verification. The first-generation artifacts and response may be inspected only for first-generation, target-prompt, boundary, and tFG validation. Later turns must not influence C/S/V judgments.</x:v>
      </x:c>
    </x:row>
    <x:row r="4" ht="34" customHeight="1">
      <x:c r="A4" s="96" t="str">
        <x:v>PR restriction</x:v>
      </x:c>
      <x:c r="B4" s="97" t="str">
        <x:v>PR content is not admissible evidence for independent Context, Specificity, or Verification validation. Do not use implementation, changed files, commits, comments, reviews, CI results, merge status, final outcome, or later development information.</x:v>
      </x:c>
    </x:row>
    <x:row r="5" ht="34" customHeight="1">
      <x:c r="A5" s="96" t="str">
        <x:v>Independent review</x:v>
      </x:c>
      <x:c r="B5" s="97" t="str">
        <x:v>Do not consult or copy the other reviewer's judgments. Leave a field blank until the case is reviewed.</x:v>
      </x:c>
    </x:row>
    <x:row r="6" ht="34" customHeight="1">
      <x:c r="A6" s="96" t="str">
        <x:v>first_generation_correct</x:v>
      </x:c>
      <x:c r="B6" s="97" t="str">
        <x:v>yes | no | uncertain</x:v>
      </x:c>
    </x:row>
    <x:row r="7" ht="34" customHeight="1">
      <x:c r="A7" s="96" t="str">
        <x:v>target_prompt_correct</x:v>
      </x:c>
      <x:c r="B7" s="97" t="str">
        <x:v>yes | no | uncertain</x:v>
      </x:c>
    </x:row>
    <x:row r="8" ht="34" customHeight="1">
      <x:c r="A8" s="96" t="str">
        <x:v>boundary_tFG_correct</x:v>
      </x:c>
      <x:c r="B8" s="97" t="str">
        <x:v>yes | no | uncertain</x:v>
      </x:c>
    </x:row>
    <x:row r="9" ht="34" customHeight="1">
      <x:c r="A9" s="96" t="str">
        <x:v>context_extraction</x:v>
      </x:c>
      <x:c r="B9" s="97" t="str">
        <x:v>correct | partially_correct | incorrect | uncertain</x:v>
      </x:c>
    </x:row>
    <x:row r="10" ht="34" customHeight="1">
      <x:c r="A10" s="96" t="str">
        <x:v>specificity_extraction</x:v>
      </x:c>
      <x:c r="B10" s="97" t="str">
        <x:v>correct | partially_correct | incorrect | uncertain</x:v>
      </x:c>
    </x:row>
    <x:row r="11" ht="34" customHeight="1">
      <x:c r="A11" s="96" t="str">
        <x:v>verification_extraction</x:v>
      </x:c>
      <x:c r="B11" s="97" t="str">
        <x:v>correct | partially_correct | incorrect | uncertain</x:v>
      </x:c>
    </x:row>
    <x:row r="12" ht="34" customHeight="1">
      <x:c r="A12" s="96" t="str">
        <x:v>missing_information</x:v>
      </x:c>
      <x:c r="B12" s="97" t="str">
        <x:v>none | context | specificity | verification | multiple | uncertain</x:v>
      </x:c>
    </x:row>
    <x:row r="13" ht="34" customHeight="1">
      <x:c r="A13" s="96" t="str">
        <x:v>post_boundary_leakage</x:v>
      </x:c>
      <x:c r="B13" s="97" t="str">
        <x:v>no | yes | uncertain</x:v>
      </x:c>
    </x:row>
    <x:row r="14" ht="34" customHeight="1">
      <x:c r="A14" s="96" t="str">
        <x:v>overall_extraction</x:v>
      </x:c>
      <x:c r="B14" s="97" t="str">
        <x:v>correct | needs_correction | uncertain</x:v>
      </x:c>
    </x:row>
    <x:row r="15" ht="34" customHeight="1">
      <x:c r="A15" s="96" t="str">
        <x:v>correction_notes</x:v>
      </x:c>
      <x:c r="B15" s="97" t="str">
        <x:v>Free text. Describe omitted information and supporting evidence when missing_information is not none.</x:v>
      </x:c>
    </x:row>
    <x:row r="16" ht="34" customHeight="1">
      <x:c r="A16" s="98" t="str">
        <x:v>reviewer_notes</x:v>
      </x:c>
      <x:c r="B16" s="99" t="str">
        <x:v>Optional free text.</x:v>
      </x:c>
    </x:row>
  </x:sheetData>
  <x:pageMargins left="0.7" right="0.7" top="0.75" bottom="0.75" header="0.3" footer="0.3"/>
</x:worksheet>
</file>