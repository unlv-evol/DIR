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1004"/>
  <workbookPr dateCompatibility="0"/>
  <mc:AlternateContent xmlns:mc="http://schemas.openxmlformats.org/markup-compatibility/2006">
    <mc:Choice Requires="x15">
      <x15ac:absPath xmlns:x15ac="http://schemas.microsoft.com/office/spreadsheetml/2010/11/ac" url="/Users/richardsserunjogi/Downloads/"/>
    </mc:Choice>
  </mc:AlternateContent>
  <xr:revisionPtr revIDLastSave="0" documentId="8_{63B9569D-5127-E547-9AD0-61551BA34A5E}" xr6:coauthVersionLast="47" xr6:coauthVersionMax="47" xr10:uidLastSave="{00000000-0000-0000-0000-000000000000}"/>
  <bookViews>
    <workbookView xWindow="0" yWindow="660" windowWidth="30240" windowHeight="17800" xr2:uid="{00000000-000D-0000-FFFF-FFFF00000000}"/>
  </bookViews>
  <sheets>
    <sheet name="Review" sheetId="1" r:id="rId1"/>
    <sheet name="Instructions" sheetId="2" r:id="rId2"/>
  </sheet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http://schemas.openxmlformats.org/spreadsheetml/2006/main" xmlns:r="http://schemas.openxmlformats.org/officeDocument/2006/relationships" uri="GoogleSheetsCustomDataVersion2">
      <go:sheetsCustomData xmlns:go="http://customooxmlschemas.google.com/" r:id="rId6" roundtripDataChecksum="Xd9XvCF+OFRcx54Aejniv64a3t66P/WlJU3Vi5+xayk="/>
    </ext>
  </extLst>
</workbook>
</file>

<file path=xl/calcChain.xml><?xml version="1.0" encoding="utf-8"?>
<calcChain xmlns="http://purl.oclc.org/ooxml/spreadsheetml/main">
  <c r="D34" i="1" l="1"/>
  <c r="C34" i="1"/>
  <c r="D33" i="1"/>
  <c r="C33" i="1"/>
  <c r="D32" i="1"/>
  <c r="C32" i="1"/>
  <c r="D31" i="1"/>
  <c r="C31" i="1"/>
  <c r="D30" i="1"/>
  <c r="C30" i="1"/>
  <c r="D29" i="1"/>
  <c r="C29" i="1"/>
  <c r="D28" i="1"/>
  <c r="C28" i="1"/>
  <c r="D27" i="1"/>
  <c r="C27" i="1"/>
  <c r="D26" i="1"/>
  <c r="C26" i="1"/>
  <c r="D25" i="1"/>
  <c r="C25" i="1"/>
  <c r="D24" i="1"/>
  <c r="C24" i="1"/>
  <c r="D23" i="1"/>
  <c r="C23" i="1"/>
  <c r="D22" i="1"/>
  <c r="C22" i="1"/>
  <c r="D21" i="1"/>
  <c r="C21" i="1"/>
  <c r="D20" i="1"/>
  <c r="C20" i="1"/>
  <c r="D19" i="1"/>
  <c r="C19" i="1"/>
  <c r="D18" i="1"/>
  <c r="C18" i="1"/>
  <c r="D17" i="1"/>
  <c r="C17" i="1"/>
  <c r="D16" i="1"/>
  <c r="C16" i="1"/>
  <c r="D15" i="1"/>
  <c r="C15" i="1"/>
  <c r="D14" i="1"/>
  <c r="C14" i="1"/>
  <c r="D13" i="1"/>
  <c r="C13" i="1"/>
  <c r="D12" i="1"/>
  <c r="C12" i="1"/>
  <c r="D11" i="1"/>
  <c r="C11" i="1"/>
  <c r="D10" i="1"/>
  <c r="C10" i="1"/>
  <c r="D9" i="1"/>
  <c r="C9" i="1"/>
  <c r="D8" i="1"/>
  <c r="C8" i="1"/>
  <c r="D7" i="1"/>
  <c r="C7" i="1"/>
  <c r="D6" i="1"/>
  <c r="C6" i="1"/>
  <c r="D5" i="1"/>
  <c r="C5" i="1"/>
  <c r="D4" i="1"/>
  <c r="C4" i="1"/>
  <c r="D3" i="1"/>
  <c r="C3" i="1"/>
  <c r="D2" i="1"/>
  <c r="C2" i="1"/>
</calcChain>
</file>

<file path=xl/sharedStrings.xml><?xml version="1.0" encoding="utf-8"?>
<sst xmlns="http://purl.oclc.org/ooxml/spreadsheetml/main" count="476" uniqueCount="113">
  <si>
    <t>case_id</t>
  </si>
  <si>
    <t>case_details</t>
  </si>
  <si>
    <t>conversation_url</t>
  </si>
  <si>
    <t>pr_url</t>
  </si>
  <si>
    <t>first_generation_correct</t>
  </si>
  <si>
    <t>target_prompt_correct</t>
  </si>
  <si>
    <t>boundary_tFG_correct</t>
  </si>
  <si>
    <t>context_extraction</t>
  </si>
  <si>
    <t>specificity_extraction</t>
  </si>
  <si>
    <t>verification_extraction</t>
  </si>
  <si>
    <t>missing_information</t>
  </si>
  <si>
    <t>post_boundary_leakage</t>
  </si>
  <si>
    <t>overall_extraction</t>
  </si>
  <si>
    <t>correction_notes</t>
  </si>
  <si>
    <t>reviewer_notes</t>
  </si>
  <si>
    <t>CASE_26F615E94B29</t>
  </si>
  <si>
    <t>cases/stage_d/reviewer_A/cases/CASE_26F615E94B29.json</t>
  </si>
  <si>
    <t>yes</t>
  </si>
  <si>
    <t>correct</t>
  </si>
  <si>
    <t>none</t>
  </si>
  <si>
    <t>no</t>
  </si>
  <si>
    <t>None</t>
  </si>
  <si>
    <t>The first-generation artifact, target prompt, and boundary were correctly identified. Context, Specificity, and Verification were accurately extracted with appropriate supporting evidence. No missing information, post-boundary leakage, or corrections were identified.</t>
  </si>
  <si>
    <t>CASE_1C3B62857D19</t>
  </si>
  <si>
    <t>cases/stage_d/reviewer_A/cases/CASE_1C3B62857D19.json</t>
  </si>
  <si>
    <t>The first-generation artifact family, corresponding response, target prompt, and tFG boundary were correctly identified. All extracted Context, Specificity, and Verification items are appropriately categorized and supported by pre-boundary conversation evidence. No missing information, post-boundary leakage, or corrections were identified. Overall extraction is correct.</t>
  </si>
  <si>
    <t>CASE_8A756AAC10B8</t>
  </si>
  <si>
    <t>cases/stage_d/reviewer_A/cases/CASE_8A756AAC10B8.json</t>
  </si>
  <si>
    <t>CASE_7351FB1ECD56</t>
  </si>
  <si>
    <t>cases/stage_d/reviewer_A/cases/CASE_7351FB1ECD56.json</t>
  </si>
  <si>
    <t>CASE_50556C8D545F</t>
  </si>
  <si>
    <t>cases/stage_d/reviewer_A/cases/CASE_50556C8D545F.json</t>
  </si>
  <si>
    <t>CASE_9E4D3DF1CDB9</t>
  </si>
  <si>
    <t>cases/stage_d/reviewer_A/cases/CASE_9E4D3DF1CDB9.json</t>
  </si>
  <si>
    <t>The first-generation artifact family, corresponding response, target prompt, and tFG boundary were correctly identified. All extracted Context, Specificity, and Verification items are appropriately categorized and supported by pre-boundary conversation evidence. However, I debated on the selected value of context, since the target prompt mentioned about regex, but decided to go with the selected category because there was not proper example , or specific mention of package pre the boundary  No missing information, post-boundary leakage, or corrections were identified. Overall extraction is correct.</t>
  </si>
  <si>
    <t>CASE_978B83E2DF72</t>
  </si>
  <si>
    <t>cases/stage_d/reviewer_A/cases/CASE_978B83E2DF72.json</t>
  </si>
  <si>
    <t>CASE_188C69620856</t>
  </si>
  <si>
    <t>cases/stage_d/reviewer_A/cases/CASE_188C69620856.json</t>
  </si>
  <si>
    <t>CASE_EE7F13CD9FB7</t>
  </si>
  <si>
    <t>cases/stage_d/reviewer_A/cases/CASE_EE7F13CD9FB7.json</t>
  </si>
  <si>
    <t>uncertain</t>
  </si>
  <si>
    <t>The first-generation artifact family, corresponding response, target prompt, and tFG boundary were correctly identified. This conversation wasn't accessible online, extracted from the archived json files. All extracted Context, Specificity, and Verification items are appropriately categorized and supported by pre-boundary conversation evidence. No missing information, post-boundary leakage, or corrections were identified. Overall extraction might need some correction.</t>
  </si>
  <si>
    <t>CASE_AD8C4F13A90B</t>
  </si>
  <si>
    <t>cases/stage_d/reviewer_A/cases/CASE_AD8C4F13A90B.json</t>
  </si>
  <si>
    <t>The first-generation artifact family, corresponding response, target prompt, and tFG boundary were correctly identified. All extracted Context, Specificity, and Verification items are appropriately categorized and supported by pre-boundary conversation evidence. The reason I wasn't so certain, is that in the context evidence, additional context items from the assistant response in from the Pre-boundary conversation was used in addition from the context evidence from the user. No missing information, post-boundary leakage. Overall extraction is correct.</t>
  </si>
  <si>
    <t>CASE_091B52A05DEF</t>
  </si>
  <si>
    <t>cases/stage_d/reviewer_A/cases/CASE_091B52A05DEF.json</t>
  </si>
  <si>
    <t>CASE_6C65BC36BF60</t>
  </si>
  <si>
    <t>cases/stage_d/reviewer_A/cases/CASE_6C65BC36BF60.json</t>
  </si>
  <si>
    <t>CASE_B9E914A3762C</t>
  </si>
  <si>
    <t>cases/stage_d/reviewer_A/cases/CASE_B9E914A3762C.json</t>
  </si>
  <si>
    <t>CASE_A4CDC94D210B</t>
  </si>
  <si>
    <t>cases/stage_d/reviewer_A/cases/CASE_A4CDC94D210B.json</t>
  </si>
  <si>
    <t>CASE_5C203B1DBF11</t>
  </si>
  <si>
    <t>cases/stage_d/reviewer_A/cases/CASE_5C203B1DBF11.json</t>
  </si>
  <si>
    <t>CASE_1FEA1F5DE7C1</t>
  </si>
  <si>
    <t>cases/stage_d/reviewer_A/cases/CASE_1FEA1F5DE7C1.json</t>
  </si>
  <si>
    <t>CASE_522F0F296F37</t>
  </si>
  <si>
    <t>cases/stage_d/reviewer_A/cases/CASE_522F0F296F37.json</t>
  </si>
  <si>
    <t>needs_correction</t>
  </si>
  <si>
    <t>it failed to identify the first artifact. The response had two artifacts, only picked one of the artifacts in the response. It missed this : "` ``bash
MD5_PATH="$(exec &lt;&amp;- 2&gt;&amp;-; which md5sum || command -v md5sum || type md5sum)"
``` "</t>
  </si>
  <si>
    <t>The first-generation artifact family, corresponding response, target prompt, and tFG boundary were correctly identified. Although it failed to identify the first artifact. The response had two artifacts, only picked one of the artifacts in the response. All extracted Context, Specificity, and Verification items are appropriately categorized and supported by pre-boundary conversation evidence. No missing information or post-boundary leakage were identified. Overall extraction might need some correction.</t>
  </si>
  <si>
    <t>CASE_AADA2C787EEE</t>
  </si>
  <si>
    <t>cases/stage_d/reviewer_A/cases/CASE_AADA2C787EEE.json</t>
  </si>
  <si>
    <t>CASE_5D45BE40E95A</t>
  </si>
  <si>
    <t>cases/stage_d/reviewer_A/cases/CASE_5D45BE40E95A.json</t>
  </si>
  <si>
    <t>CASE_3A639B473AED</t>
  </si>
  <si>
    <t>cases/stage_d/reviewer_A/cases/CASE_3A639B473AED.json</t>
  </si>
  <si>
    <t>CASE_F13F98792012</t>
  </si>
  <si>
    <t>cases/stage_d/reviewer_A/cases/CASE_F13F98792012.json</t>
  </si>
  <si>
    <t>CASE_194F3A461B65</t>
  </si>
  <si>
    <t>cases/stage_d/reviewer_A/cases/CASE_194F3A461B65.json</t>
  </si>
  <si>
    <t>CASE_C95F69523646</t>
  </si>
  <si>
    <t>cases/stage_d/reviewer_A/cases/CASE_C95F69523646.json</t>
  </si>
  <si>
    <t>CASE_A1DC1299D73A</t>
  </si>
  <si>
    <t>cases/stage_d/reviewer_A/cases/CASE_A1DC1299D73A.json</t>
  </si>
  <si>
    <t>CASE_6C2918844CE5</t>
  </si>
  <si>
    <t>cases/stage_d/reviewer_A/cases/CASE_6C2918844CE5.json</t>
  </si>
  <si>
    <t>CASE_CDFEF66FCEAA</t>
  </si>
  <si>
    <t>cases/stage_d/reviewer_A/cases/CASE_CDFEF66FCEAA.json</t>
  </si>
  <si>
    <t>CASE_DBFC2CC31FE4</t>
  </si>
  <si>
    <t>cases/stage_d/reviewer_A/cases/CASE_DBFC2CC31FE4.json</t>
  </si>
  <si>
    <t>CASE_E6ADDBF1751F</t>
  </si>
  <si>
    <t>cases/stage_d/reviewer_A/cases/CASE_E6ADDBF1751F.json</t>
  </si>
  <si>
    <t>CASE_3E3A525883BA</t>
  </si>
  <si>
    <t>cases/stage_d/reviewer_A/cases/CASE_3E3A525883BA.json</t>
  </si>
  <si>
    <t>CASE_0ECE0C32A4BB</t>
  </si>
  <si>
    <t>cases/stage_d/reviewer_A/cases/CASE_0ECE0C32A4BB.json</t>
  </si>
  <si>
    <t>The first-generation artifact family, corresponding response, target prompt, and tFG boundary were correctly identified. All extracted Context, Specificity, and Verification items are appropriately categorized and supported by pre-boundary conversation evidence. Though verification can be implicit but , it couldn't be generated direct from the target prompt. No missing information, post-boundary leakage, or corrections were identified. Overall extraction is correct.</t>
  </si>
  <si>
    <t>CASE_34D14D6B0BB7</t>
  </si>
  <si>
    <t>cases/stage_d/reviewer_A/cases/CASE_34D14D6B0BB7.json</t>
  </si>
  <si>
    <t>CASE_5FC257622E18</t>
  </si>
  <si>
    <t>cases/stage_d/reviewer_A/cases/CASE_5FC257622E18.json</t>
  </si>
  <si>
    <t>CASE_A0301CC135FC</t>
  </si>
  <si>
    <t>cases/stage_d/reviewer_A/cases/CASE_A0301CC135FC.json</t>
  </si>
  <si>
    <t>Stage D human validation</t>
  </si>
  <si>
    <t>Frozen blank reviewer instrument generated from the canonical CSV.</t>
  </si>
  <si>
    <t>Primary evidence</t>
  </si>
  <si>
    <t>case_details is the primary Stage D evidence package.</t>
  </si>
  <si>
    <t>Conversation boundary</t>
  </si>
  <si>
    <t>Only pre-boundary conversation information is admissible for Context, Specificity, and Verification. The first-generation artifacts and response may be inspected only for first-generation, target-prompt, boundary, and tFG validation. Later turns must not influence C/S/V judgments.</t>
  </si>
  <si>
    <t>PR restriction</t>
  </si>
  <si>
    <t>PR content is not admissible evidence for independent Context, Specificity, or Verification validation. Do not use implementation, changed files, commits, comments, reviews, CI results, merge status, final outcome, or later development information.</t>
  </si>
  <si>
    <t>Independent review</t>
  </si>
  <si>
    <t>Do not consult or copy the other reviewer's judgments. Leave a field blank until the case is reviewed.</t>
  </si>
  <si>
    <t>yes | no | uncertain</t>
  </si>
  <si>
    <t>correct | partially_correct | incorrect | uncertain</t>
  </si>
  <si>
    <t>none | context | specificity | verification | multiple | uncertain</t>
  </si>
  <si>
    <t>no | yes | uncertain</t>
  </si>
  <si>
    <t>correct | needs_correction | uncertain</t>
  </si>
  <si>
    <t>Free text. Describe omitted information and supporting evidence when missing_information is not none.</t>
  </si>
  <si>
    <t>Optional free text.</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</si>
</sst>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rgb="FF000000"/>
      <name val="Carlito"/>
      <scheme val="minor"/>
    </font>
    <font>
      <b/>
      <sz val="10"/>
      <color rgb="FFFFFFFF"/>
      <name val="Arial"/>
      <family val="2"/>
    </font>
    <font>
      <sz val="10"/>
      <color rgb="FF1F2937"/>
      <name val="Arial"/>
      <family val="2"/>
    </font>
    <font>
      <u/>
      <sz val="10"/>
      <color rgb="FF1F2937"/>
      <name val="Arial"/>
      <family val="2"/>
    </font>
    <font>
      <u/>
      <sz val="10"/>
      <color rgb="FF1F2937"/>
      <name val="Arial"/>
      <family val="2"/>
    </font>
    <font>
      <u/>
      <sz val="10"/>
      <color rgb="FF1F2937"/>
      <name val="Arial"/>
      <family val="2"/>
    </font>
    <font>
      <b/>
      <sz val="14"/>
      <color rgb="FFFFFFFF"/>
      <name val="Arial"/>
      <family val="2"/>
    </font>
    <font>
      <b/>
      <sz val="10"/>
      <color rgb="FF1F2937"/>
      <name val="Arial"/>
      <family val="2"/>
    </font>
  </fonts>
  <fills count="9">
    <fill>
      <patternFill patternType="none"/>
    </fill>
    <fill>
      <patternFill patternType="gray125"/>
    </fill>
    <fill>
      <patternFill patternType="solid">
        <fgColor rgb="FF1F4E78"/>
        <bgColor rgb="FF1F4E78"/>
      </patternFill>
    </fill>
    <fill>
      <patternFill patternType="solid">
        <fgColor rgb="FFF3F6F8"/>
        <bgColor rgb="FFF3F6F8"/>
      </patternFill>
    </fill>
    <fill>
      <patternFill patternType="solid">
        <fgColor rgb="FFFFF4CC"/>
        <bgColor rgb="FFFFF4CC"/>
      </patternFill>
    </fill>
    <fill>
      <patternFill patternType="solid">
        <fgColor rgb="FFEA9999"/>
        <bgColor rgb="FFEA9999"/>
      </patternFill>
    </fill>
    <fill>
      <patternFill patternType="solid">
        <fgColor rgb="FFFFFF00"/>
        <bgColor rgb="FFFFFF00"/>
      </patternFill>
    </fill>
    <fill>
      <patternFill patternType="solid">
        <fgColor rgb="FFB6D7A8"/>
        <bgColor rgb="FFB6D7A8"/>
      </patternFill>
    </fill>
    <fill>
      <patternFill patternType="solid">
        <fgColor rgb="FFD9EAF7"/>
        <bgColor rgb="FFD9EAF7"/>
      </patternFill>
    </fill>
  </fills>
  <borders count="13">
    <border>
      <start/>
      <end/>
      <top/>
      <bottom/>
      <diagonal/>
    </border>
    <border>
      <start/>
      <end style="thin">
        <color rgb="FFFFFFFF"/>
      </end>
      <top/>
      <bottom/>
      <diagonal/>
    </border>
    <border>
      <start style="thin">
        <color rgb="FFFFFFFF"/>
      </start>
      <end style="thin">
        <color rgb="FFFFFFFF"/>
      </end>
      <top/>
      <bottom/>
      <diagonal/>
    </border>
    <border>
      <start style="thin">
        <color rgb="FFFFFFFF"/>
      </start>
      <end/>
      <top/>
      <bottom/>
      <diagonal/>
    </border>
    <border>
      <start/>
      <end style="thin">
        <color rgb="FFD9E2F3"/>
      </end>
      <top/>
      <bottom style="thin">
        <color rgb="FFD9E2F3"/>
      </bottom>
      <diagonal/>
    </border>
    <border>
      <start style="thin">
        <color rgb="FFD9E2F3"/>
      </start>
      <end style="thin">
        <color rgb="FFD9E2F3"/>
      </end>
      <top/>
      <bottom style="thin">
        <color rgb="FFD9E2F3"/>
      </bottom>
      <diagonal/>
    </border>
    <border>
      <start style="thin">
        <color rgb="FFD9E2F3"/>
      </start>
      <end/>
      <top/>
      <bottom style="thin">
        <color rgb="FFD9E2F3"/>
      </bottom>
      <diagonal/>
    </border>
    <border>
      <start/>
      <end style="thin">
        <color rgb="FFD9E2F3"/>
      </end>
      <top style="thin">
        <color rgb="FFD9E2F3"/>
      </top>
      <bottom style="thin">
        <color rgb="FFD9E2F3"/>
      </bottom>
      <diagonal/>
    </border>
    <border>
      <start style="thin">
        <color rgb="FFD9E2F3"/>
      </start>
      <end style="thin">
        <color rgb="FFD9E2F3"/>
      </end>
      <top style="thin">
        <color rgb="FFD9E2F3"/>
      </top>
      <bottom style="thin">
        <color rgb="FFD9E2F3"/>
      </bottom>
      <diagonal/>
    </border>
    <border>
      <start style="thin">
        <color rgb="FFD9E2F3"/>
      </start>
      <end/>
      <top style="thin">
        <color rgb="FFD9E2F3"/>
      </top>
      <bottom style="thin">
        <color rgb="FFD9E2F3"/>
      </bottom>
      <diagonal/>
    </border>
    <border>
      <start/>
      <end style="thin">
        <color rgb="FFD9E2F3"/>
      </end>
      <top style="thin">
        <color rgb="FFD9E2F3"/>
      </top>
      <bottom/>
      <diagonal/>
    </border>
    <border>
      <start style="thin">
        <color rgb="FFD9E2F3"/>
      </start>
      <end style="thin">
        <color rgb="FFD9E2F3"/>
      </end>
      <top style="thin">
        <color rgb="FFD9E2F3"/>
      </top>
      <bottom/>
      <diagonal/>
    </border>
    <border>
      <start style="thin">
        <color rgb="FFD9E2F3"/>
      </start>
      <end/>
      <top style="thin">
        <color rgb="FFD9E2F3"/>
      </top>
      <bottom/>
      <diagonal/>
    </border>
  </borders>
  <cellStyleXfs count="1">
    <xf numFmtId="0" fontId="0" fillId="0" borderId="0"/>
  </cellStyleXfs>
  <cellXfs count="36">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3" borderId="4" xfId="0" applyFont="1" applyFill="1" applyBorder="1" applyAlignment="1">
      <alignment vertical="top"/>
    </xf>
    <xf numFmtId="0" fontId="2" fillId="3" borderId="5" xfId="0" applyFont="1" applyFill="1" applyBorder="1" applyAlignment="1">
      <alignment vertical="top" wrapText="1"/>
    </xf>
    <xf numFmtId="0" fontId="3" fillId="3" borderId="5" xfId="0" applyFont="1" applyFill="1" applyBorder="1" applyAlignment="1">
      <alignment vertical="top" wrapText="1"/>
    </xf>
    <xf numFmtId="0" fontId="2" fillId="4" borderId="5" xfId="0" applyFont="1" applyFill="1" applyBorder="1" applyAlignment="1">
      <alignment vertical="top"/>
    </xf>
    <xf numFmtId="0" fontId="2" fillId="4" borderId="5" xfId="0" applyFont="1" applyFill="1" applyBorder="1" applyAlignment="1">
      <alignment vertical="top" wrapText="1"/>
    </xf>
    <xf numFmtId="0" fontId="2" fillId="4" borderId="6" xfId="0" applyFont="1" applyFill="1" applyBorder="1" applyAlignment="1">
      <alignment vertical="top" wrapText="1"/>
    </xf>
    <xf numFmtId="0" fontId="2" fillId="3" borderId="7" xfId="0" applyFont="1" applyFill="1" applyBorder="1" applyAlignment="1">
      <alignment vertical="top"/>
    </xf>
    <xf numFmtId="0" fontId="2" fillId="3" borderId="8" xfId="0" applyFont="1" applyFill="1" applyBorder="1" applyAlignment="1">
      <alignment vertical="top" wrapText="1"/>
    </xf>
    <xf numFmtId="0" fontId="4" fillId="3" borderId="8" xfId="0" applyFont="1" applyFill="1" applyBorder="1" applyAlignment="1">
      <alignment vertical="top" wrapText="1"/>
    </xf>
    <xf numFmtId="0" fontId="2" fillId="4" borderId="8" xfId="0" applyFont="1" applyFill="1" applyBorder="1" applyAlignment="1">
      <alignment vertical="top"/>
    </xf>
    <xf numFmtId="0" fontId="2" fillId="4" borderId="8" xfId="0" applyFont="1" applyFill="1" applyBorder="1" applyAlignment="1">
      <alignment vertical="top" wrapText="1"/>
    </xf>
    <xf numFmtId="0" fontId="2" fillId="4" borderId="9" xfId="0" applyFont="1" applyFill="1" applyBorder="1" applyAlignment="1">
      <alignment vertical="top" wrapText="1"/>
    </xf>
    <xf numFmtId="0" fontId="2" fillId="5" borderId="7" xfId="0" applyFont="1" applyFill="1" applyBorder="1" applyAlignment="1">
      <alignment vertical="top"/>
    </xf>
    <xf numFmtId="0" fontId="2" fillId="5" borderId="8" xfId="0" applyFont="1" applyFill="1" applyBorder="1" applyAlignment="1">
      <alignment vertical="top" wrapText="1"/>
    </xf>
    <xf numFmtId="0" fontId="2" fillId="6" borderId="7" xfId="0" applyFont="1" applyFill="1" applyBorder="1" applyAlignment="1">
      <alignment vertical="top"/>
    </xf>
    <xf numFmtId="0" fontId="2" fillId="6" borderId="8" xfId="0" applyFont="1" applyFill="1" applyBorder="1" applyAlignment="1">
      <alignment vertical="top" wrapText="1"/>
    </xf>
    <xf numFmtId="0" fontId="2" fillId="7" borderId="7" xfId="0" applyFont="1" applyFill="1" applyBorder="1" applyAlignment="1">
      <alignment vertical="top"/>
    </xf>
    <xf numFmtId="0" fontId="2" fillId="7" borderId="8" xfId="0" applyFont="1" applyFill="1" applyBorder="1" applyAlignment="1">
      <alignment vertical="top" wrapText="1"/>
    </xf>
    <xf numFmtId="0" fontId="2" fillId="0" borderId="7" xfId="0" applyFont="1" applyBorder="1" applyAlignment="1">
      <alignment vertical="top"/>
    </xf>
    <xf numFmtId="0" fontId="2" fillId="0" borderId="8" xfId="0" applyFont="1" applyBorder="1" applyAlignment="1">
      <alignment vertical="top" wrapText="1"/>
    </xf>
    <xf numFmtId="0" fontId="2" fillId="3" borderId="10" xfId="0" applyFont="1" applyFill="1" applyBorder="1" applyAlignment="1">
      <alignment vertical="top"/>
    </xf>
    <xf numFmtId="0" fontId="2" fillId="3" borderId="11" xfId="0" applyFont="1" applyFill="1" applyBorder="1" applyAlignment="1">
      <alignment vertical="top" wrapText="1"/>
    </xf>
    <xf numFmtId="0" fontId="5" fillId="3" borderId="11" xfId="0" applyFont="1" applyFill="1" applyBorder="1" applyAlignment="1">
      <alignment vertical="top" wrapText="1"/>
    </xf>
    <xf numFmtId="0" fontId="2" fillId="4" borderId="11" xfId="0" applyFont="1" applyFill="1" applyBorder="1" applyAlignment="1">
      <alignment vertical="top"/>
    </xf>
    <xf numFmtId="0" fontId="2" fillId="4" borderId="11" xfId="0" applyFont="1" applyFill="1" applyBorder="1" applyAlignment="1">
      <alignment vertical="top" wrapText="1"/>
    </xf>
    <xf numFmtId="0" fontId="2" fillId="4" borderId="12" xfId="0" applyFont="1" applyFill="1" applyBorder="1" applyAlignment="1">
      <alignment vertical="top" wrapText="1"/>
    </xf>
    <xf numFmtId="0" fontId="6" fillId="2" borderId="4" xfId="0" applyFont="1" applyFill="1" applyBorder="1"/>
    <xf numFmtId="0" fontId="6" fillId="2" borderId="6" xfId="0" applyFont="1" applyFill="1" applyBorder="1"/>
    <xf numFmtId="0" fontId="7" fillId="8" borderId="7" xfId="0" applyFont="1" applyFill="1" applyBorder="1" applyAlignment="1">
      <alignment vertical="top"/>
    </xf>
    <xf numFmtId="0" fontId="2" fillId="0" borderId="9" xfId="0" applyFont="1" applyBorder="1" applyAlignment="1">
      <alignment vertical="top" wrapText="1"/>
    </xf>
    <xf numFmtId="0" fontId="7" fillId="8" borderId="10" xfId="0" applyFont="1" applyFill="1" applyBorder="1" applyAlignment="1">
      <alignment vertical="top"/>
    </xf>
    <xf numFmtId="0" fontId="2" fillId="0" borderId="1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styles" Target="styles.xml"/><Relationship Id="rId7" Type="http://purl.oclc.org/ooxml/officeDocument/relationships/theme" Target="theme/theme1.xml"/><Relationship Id="rId2" Type="http://purl.oclc.org/ooxml/officeDocument/relationships/worksheet" Target="worksheets/sheet2.xml"/><Relationship Id="rId1" Type="http://purl.oclc.org/ooxml/officeDocument/relationships/worksheet" Target="worksheets/sheet1.xml"/><Relationship Id="rId6" Type="http://customschemas.google.com/relationships/workbookmetadata" Target="metadata"/><Relationship Id="rId10" Type="http://purl.oclc.org/ooxml/officeDocument/relationships/calcChain" Target="calcChain.xml"/><Relationship Id="rId9" Type="http://purl.oclc.org/ooxml/officeDocument/relationships/sharedStrings" Target="sharedStrings.xml"/></Relationships>
</file>

<file path=xl/theme/theme1.xml><?xml version="1.0" encoding="utf-8"?>
<a:theme xmlns:a="http://purl.oclc.org/ooxml/drawingml/main" name="Sheets">
  <a:themeElements>
    <a:clrScheme name="Sheets">
      <a:dk1>
        <a:srgbClr val="1F2937"/>
      </a:dk1>
      <a:lt1>
        <a:srgbClr val="FFFFFF"/>
      </a:lt1>
      <a:dk2>
        <a:srgbClr val="1F2937"/>
      </a:dk2>
      <a:lt2>
        <a:srgbClr val="FFFFFF"/>
      </a:lt2>
      <a:accent1>
        <a:srgbClr val="1F4E78"/>
      </a:accent1>
      <a:accent2>
        <a:srgbClr val="D9EAF7"/>
      </a:accent2>
      <a:accent3>
        <a:srgbClr val="196B24"/>
      </a:accent3>
      <a:accent4>
        <a:srgbClr val="0F9ED5"/>
      </a:accent4>
      <a:accent5>
        <a:srgbClr val="A02B93"/>
      </a:accent5>
      <a:accent6>
        <a:srgbClr val="4EA72E"/>
      </a:accent6>
      <a:hlink>
        <a:srgbClr val="0563C1"/>
      </a:hlink>
      <a:folHlink>
        <a:srgbClr val="0563C1"/>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0"/>
  <sheetViews>
    <sheetView showGridLines="0" tabSelected="1"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2.6640625" defaultRowHeight="15" customHeight="1"/>
  <cols>
    <col min="1" max="1" width="22" customWidth="1"/>
    <col min="2" max="2" width="44" customWidth="1"/>
    <col min="3" max="4" width="45" customWidth="1"/>
    <col min="5" max="5" width="22.33203125" customWidth="1"/>
    <col min="6" max="13" width="20" customWidth="1"/>
    <col min="14" max="14" width="38" customWidth="1"/>
    <col min="15" max="15" width="36.1640625" customWidth="1"/>
    <col min="16" max="26" width="8.6640625" customWidth="1"/>
  </cols>
  <sheetData>
    <row r="1" spans="1:15" ht="30" customHeight="1">
      <c r="A1" s="1" t="s">
        <v>0</v>
      </c>
      <c r="B1" s="2" t="s">
        <v>1</v>
      </c>
      <c r="C1" s="2" t="s">
        <v>2</v>
      </c>
      <c r="D1" s="2" t="s">
        <v>3</v>
      </c>
      <c r="E1" s="2" t="s">
        <v>4</v>
      </c>
      <c r="F1" s="2" t="s">
        <v>5</v>
      </c>
      <c r="G1" s="2" t="s">
        <v>6</v>
      </c>
      <c r="H1" s="2" t="s">
        <v>7</v>
      </c>
      <c r="I1" s="2" t="s">
        <v>8</v>
      </c>
      <c r="J1" s="2" t="s">
        <v>9</v>
      </c>
      <c r="K1" s="2" t="s">
        <v>10</v>
      </c>
      <c r="L1" s="2" t="s">
        <v>11</v>
      </c>
      <c r="M1" s="2" t="s">
        <v>12</v>
      </c>
      <c r="N1" s="2" t="s">
        <v>13</v>
      </c>
      <c r="O1" s="3" t="s">
        <v>14</v>
      </c>
    </row>
    <row r="2" spans="1:15" ht="30" customHeight="1">
      <c r="A2" s="4" t="s">
        <v>15</v>
      </c>
      <c r="B2" s="5" t="s">
        <v>16</v>
      </c>
      <c r="C2" s="6" t="str">
        <f>HYPERLINK("https://chat.openai.com/share/9550ff9a-5077-459d-a35e-47c20890240e","https://chat.openai.com/share/9550ff9a-5077-459d-a35e-47c20890240e")</f>
        <v>https://chat.openai.com/share/9550ff9a-5077-459d-a35e-47c20890240e</v>
      </c>
      <c r="D2" s="6" t="str">
        <f>HYPERLINK("https://github.com/alcionai/corso/pull/4417","https://github.com/alcionai/corso/pull/4417")</f>
        <v>https://github.com/alcionai/corso/pull/4417</v>
      </c>
      <c r="E2" s="7" t="s">
        <v>17</v>
      </c>
      <c r="F2" s="7" t="s">
        <v>17</v>
      </c>
      <c r="G2" s="7" t="s">
        <v>17</v>
      </c>
      <c r="H2" s="7" t="s">
        <v>18</v>
      </c>
      <c r="I2" s="7" t="s">
        <v>18</v>
      </c>
      <c r="J2" s="7" t="s">
        <v>18</v>
      </c>
      <c r="K2" s="7" t="s">
        <v>19</v>
      </c>
      <c r="L2" s="7" t="s">
        <v>20</v>
      </c>
      <c r="M2" s="7" t="s">
        <v>18</v>
      </c>
      <c r="N2" s="8" t="s">
        <v>21</v>
      </c>
      <c r="O2" s="9" t="s">
        <v>22</v>
      </c>
    </row>
    <row r="3" spans="1:15" ht="30" customHeight="1">
      <c r="A3" s="10" t="s">
        <v>23</v>
      </c>
      <c r="B3" s="11" t="s">
        <v>24</v>
      </c>
      <c r="C3" s="12" t="str">
        <f>HYPERLINK("https://chat.openai.com/share/d7dbe641-4d5c-48db-8887-4260b04fa18e","https://chat.openai.com/share/d7dbe641-4d5c-48db-8887-4260b04fa18e")</f>
        <v>https://chat.openai.com/share/d7dbe641-4d5c-48db-8887-4260b04fa18e</v>
      </c>
      <c r="D3" s="12" t="str">
        <f>HYPERLINK("https://github.com/langroid/langroid/pull/301","https://github.com/langroid/langroid/pull/301")</f>
        <v>https://github.com/langroid/langroid/pull/301</v>
      </c>
      <c r="E3" s="13" t="s">
        <v>17</v>
      </c>
      <c r="F3" s="13" t="s">
        <v>17</v>
      </c>
      <c r="G3" s="13" t="s">
        <v>17</v>
      </c>
      <c r="H3" s="13" t="s">
        <v>18</v>
      </c>
      <c r="I3" s="13" t="s">
        <v>18</v>
      </c>
      <c r="J3" s="13" t="s">
        <v>18</v>
      </c>
      <c r="K3" s="13" t="s">
        <v>19</v>
      </c>
      <c r="L3" s="13" t="s">
        <v>20</v>
      </c>
      <c r="M3" s="13" t="s">
        <v>18</v>
      </c>
      <c r="N3" s="14" t="s">
        <v>21</v>
      </c>
      <c r="O3" s="15" t="s">
        <v>25</v>
      </c>
    </row>
    <row r="4" spans="1:15" ht="30" customHeight="1">
      <c r="A4" s="10" t="s">
        <v>26</v>
      </c>
      <c r="B4" s="11" t="s">
        <v>27</v>
      </c>
      <c r="C4" s="12" t="str">
        <f>HYPERLINK("https://chat.openai.com/share/e49e67a1-6caf-4448-abca-474b10e34acc","https://chat.openai.com/share/e49e67a1-6caf-4448-abca-474b10e34acc")</f>
        <v>https://chat.openai.com/share/e49e67a1-6caf-4448-abca-474b10e34acc</v>
      </c>
      <c r="D4" s="12" t="str">
        <f>HYPERLINK("https://github.com/itpplasma/libneo/pull/21","https://github.com/itpplasma/libneo/pull/21")</f>
        <v>https://github.com/itpplasma/libneo/pull/21</v>
      </c>
      <c r="E4" s="13" t="s">
        <v>17</v>
      </c>
      <c r="F4" s="13" t="s">
        <v>17</v>
      </c>
      <c r="G4" s="13" t="s">
        <v>17</v>
      </c>
      <c r="H4" s="13" t="s">
        <v>18</v>
      </c>
      <c r="I4" s="13" t="s">
        <v>18</v>
      </c>
      <c r="J4" s="13" t="s">
        <v>18</v>
      </c>
      <c r="K4" s="13" t="s">
        <v>19</v>
      </c>
      <c r="L4" s="13" t="s">
        <v>20</v>
      </c>
      <c r="M4" s="13" t="s">
        <v>18</v>
      </c>
      <c r="N4" s="14" t="s">
        <v>21</v>
      </c>
      <c r="O4" s="15" t="s">
        <v>25</v>
      </c>
    </row>
    <row r="5" spans="1:15" ht="30" customHeight="1">
      <c r="A5" s="10" t="s">
        <v>28</v>
      </c>
      <c r="B5" s="11" t="s">
        <v>29</v>
      </c>
      <c r="C5" s="12" t="str">
        <f>HYPERLINK("https://chat.openai.com/share/0c93321b-b553-430f-a06f-a6c82f56e4ee","https://chat.openai.com/share/0c93321b-b553-430f-a06f-a6c82f56e4ee")</f>
        <v>https://chat.openai.com/share/0c93321b-b553-430f-a06f-a6c82f56e4ee</v>
      </c>
      <c r="D5" s="12" t="str">
        <f>HYPERLINK("https://github.com/dust-tt/dust/pull/508","https://github.com/dust-tt/dust/pull/508")</f>
        <v>https://github.com/dust-tt/dust/pull/508</v>
      </c>
      <c r="E5" s="13" t="s">
        <v>17</v>
      </c>
      <c r="F5" s="13" t="s">
        <v>17</v>
      </c>
      <c r="G5" s="13" t="s">
        <v>17</v>
      </c>
      <c r="H5" s="13" t="s">
        <v>18</v>
      </c>
      <c r="I5" s="13" t="s">
        <v>18</v>
      </c>
      <c r="J5" s="13" t="s">
        <v>18</v>
      </c>
      <c r="K5" s="13" t="s">
        <v>19</v>
      </c>
      <c r="L5" s="13" t="s">
        <v>20</v>
      </c>
      <c r="M5" s="13" t="s">
        <v>18</v>
      </c>
      <c r="N5" s="14" t="s">
        <v>21</v>
      </c>
      <c r="O5" s="15" t="s">
        <v>25</v>
      </c>
    </row>
    <row r="6" spans="1:15" ht="30" customHeight="1">
      <c r="A6" s="10" t="s">
        <v>30</v>
      </c>
      <c r="B6" s="11" t="s">
        <v>31</v>
      </c>
      <c r="C6" s="12" t="str">
        <f>HYPERLINK("https://chat.openai.com/share/ea95f20d-b69c-47e3-96cc-5f7872077d53","https://chat.openai.com/share/ea95f20d-b69c-47e3-96cc-5f7872077d53")</f>
        <v>https://chat.openai.com/share/ea95f20d-b69c-47e3-96cc-5f7872077d53</v>
      </c>
      <c r="D6" s="12" t="str">
        <f>HYPERLINK("https://github.com/VOICEVOX/voicevox_core/pull/655","https://github.com/VOICEVOX/voicevox_core/pull/655")</f>
        <v>https://github.com/VOICEVOX/voicevox_core/pull/655</v>
      </c>
      <c r="E6" s="13" t="s">
        <v>17</v>
      </c>
      <c r="F6" s="13" t="s">
        <v>17</v>
      </c>
      <c r="G6" s="13" t="s">
        <v>17</v>
      </c>
      <c r="H6" s="13" t="s">
        <v>18</v>
      </c>
      <c r="I6" s="13" t="s">
        <v>18</v>
      </c>
      <c r="J6" s="13" t="s">
        <v>18</v>
      </c>
      <c r="K6" s="13" t="s">
        <v>19</v>
      </c>
      <c r="L6" s="13" t="s">
        <v>20</v>
      </c>
      <c r="M6" s="13" t="s">
        <v>18</v>
      </c>
      <c r="N6" s="14" t="s">
        <v>21</v>
      </c>
      <c r="O6" s="15" t="s">
        <v>25</v>
      </c>
    </row>
    <row r="7" spans="1:15" ht="30" customHeight="1">
      <c r="A7" s="16" t="s">
        <v>32</v>
      </c>
      <c r="B7" s="17" t="s">
        <v>33</v>
      </c>
      <c r="C7" s="12" t="str">
        <f>HYPERLINK("https://chat.openai.com/share/e9555822-4ffb-4845-8e40-0bc6cbbc658d","https://chat.openai.com/share/e9555822-4ffb-4845-8e40-0bc6cbbc658d")</f>
        <v>https://chat.openai.com/share/e9555822-4ffb-4845-8e40-0bc6cbbc658d</v>
      </c>
      <c r="D7" s="12" t="str">
        <f>HYPERLINK("https://github.com/laravel-json-api/core/pull/12","https://github.com/laravel-json-api/core/pull/12")</f>
        <v>https://github.com/laravel-json-api/core/pull/12</v>
      </c>
      <c r="E7" s="13" t="s">
        <v>17</v>
      </c>
      <c r="F7" s="13" t="s">
        <v>17</v>
      </c>
      <c r="G7" s="13" t="s">
        <v>17</v>
      </c>
      <c r="H7" s="13" t="s">
        <v>18</v>
      </c>
      <c r="I7" s="13" t="s">
        <v>18</v>
      </c>
      <c r="J7" s="13" t="s">
        <v>18</v>
      </c>
      <c r="K7" s="13" t="s">
        <v>19</v>
      </c>
      <c r="L7" s="13" t="s">
        <v>20</v>
      </c>
      <c r="M7" s="13" t="s">
        <v>18</v>
      </c>
      <c r="N7" s="14" t="s">
        <v>21</v>
      </c>
      <c r="O7" s="15" t="s">
        <v>34</v>
      </c>
    </row>
    <row r="8" spans="1:15" ht="30" customHeight="1">
      <c r="A8" s="10" t="s">
        <v>35</v>
      </c>
      <c r="B8" s="11" t="s">
        <v>36</v>
      </c>
      <c r="C8" s="12" t="str">
        <f>HYPERLINK("https://chat.openai.com/share/f7b28f24-d71f-4502-9fa9-0b79b0e7cc20","https://chat.openai.com/share/f7b28f24-d71f-4502-9fa9-0b79b0e7cc20")</f>
        <v>https://chat.openai.com/share/f7b28f24-d71f-4502-9fa9-0b79b0e7cc20</v>
      </c>
      <c r="D8" s="12" t="str">
        <f>HYPERLINK("https://github.com/BitBoxSwiss/bitbox-wallet-app/pull/2368","https://github.com/BitBoxSwiss/bitbox-wallet-app/pull/2368")</f>
        <v>https://github.com/BitBoxSwiss/bitbox-wallet-app/pull/2368</v>
      </c>
      <c r="E8" s="13" t="s">
        <v>17</v>
      </c>
      <c r="F8" s="13" t="s">
        <v>17</v>
      </c>
      <c r="G8" s="13" t="s">
        <v>17</v>
      </c>
      <c r="H8" s="13" t="s">
        <v>18</v>
      </c>
      <c r="I8" s="13" t="s">
        <v>18</v>
      </c>
      <c r="J8" s="13" t="s">
        <v>18</v>
      </c>
      <c r="K8" s="13" t="s">
        <v>19</v>
      </c>
      <c r="L8" s="13" t="s">
        <v>20</v>
      </c>
      <c r="M8" s="13" t="s">
        <v>18</v>
      </c>
      <c r="N8" s="14" t="s">
        <v>21</v>
      </c>
      <c r="O8" s="15" t="s">
        <v>25</v>
      </c>
    </row>
    <row r="9" spans="1:15" ht="30" customHeight="1">
      <c r="A9" s="10" t="s">
        <v>37</v>
      </c>
      <c r="B9" s="11" t="s">
        <v>38</v>
      </c>
      <c r="C9" s="12" t="str">
        <f>HYPERLINK("https://chat.openai.com/share/d0692ab8-4656-44bd-b06e-3c99511ac1fc","https://chat.openai.com/share/d0692ab8-4656-44bd-b06e-3c99511ac1fc")</f>
        <v>https://chat.openai.com/share/d0692ab8-4656-44bd-b06e-3c99511ac1fc</v>
      </c>
      <c r="D9" s="12" t="str">
        <f>HYPERLINK("https://github.com/Northeastern-Electric-Racing/FinishLine/pull/2021","https://github.com/Northeastern-Electric-Racing/FinishLine/pull/2021")</f>
        <v>https://github.com/Northeastern-Electric-Racing/FinishLine/pull/2021</v>
      </c>
      <c r="E9" s="13" t="s">
        <v>17</v>
      </c>
      <c r="F9" s="13" t="s">
        <v>17</v>
      </c>
      <c r="G9" s="13" t="s">
        <v>17</v>
      </c>
      <c r="H9" s="13" t="s">
        <v>18</v>
      </c>
      <c r="I9" s="13" t="s">
        <v>18</v>
      </c>
      <c r="J9" s="13" t="s">
        <v>18</v>
      </c>
      <c r="K9" s="13" t="s">
        <v>19</v>
      </c>
      <c r="L9" s="13" t="s">
        <v>20</v>
      </c>
      <c r="M9" s="13" t="s">
        <v>18</v>
      </c>
      <c r="N9" s="14" t="s">
        <v>21</v>
      </c>
      <c r="O9" s="15" t="s">
        <v>25</v>
      </c>
    </row>
    <row r="10" spans="1:15" ht="30" customHeight="1">
      <c r="A10" s="18" t="s">
        <v>39</v>
      </c>
      <c r="B10" s="19" t="s">
        <v>40</v>
      </c>
      <c r="C10" s="12" t="str">
        <f>HYPERLINK("https://chat.openai.com/share/809df2ba-1509-44a0-a231-e986a8a99321","https://chat.openai.com/share/809df2ba-1509-44a0-a231-e986a8a99321")</f>
        <v>https://chat.openai.com/share/809df2ba-1509-44a0-a231-e986a8a99321</v>
      </c>
      <c r="D10" s="12" t="str">
        <f>HYPERLINK("https://github.com/darklang/dark/pull/5058","https://github.com/darklang/dark/pull/5058")</f>
        <v>https://github.com/darklang/dark/pull/5058</v>
      </c>
      <c r="E10" s="13" t="s">
        <v>17</v>
      </c>
      <c r="F10" s="13" t="s">
        <v>17</v>
      </c>
      <c r="G10" s="13" t="s">
        <v>17</v>
      </c>
      <c r="H10" s="13" t="s">
        <v>18</v>
      </c>
      <c r="I10" s="13" t="s">
        <v>18</v>
      </c>
      <c r="J10" s="13" t="s">
        <v>18</v>
      </c>
      <c r="K10" s="13" t="s">
        <v>19</v>
      </c>
      <c r="L10" s="13" t="s">
        <v>20</v>
      </c>
      <c r="M10" s="13" t="s">
        <v>41</v>
      </c>
      <c r="N10" s="14" t="s">
        <v>21</v>
      </c>
      <c r="O10" s="15" t="s">
        <v>42</v>
      </c>
    </row>
    <row r="11" spans="1:15" ht="30" customHeight="1">
      <c r="A11" s="10" t="s">
        <v>43</v>
      </c>
      <c r="B11" s="11" t="s">
        <v>44</v>
      </c>
      <c r="C11" s="12" t="str">
        <f>HYPERLINK("https://chat.openai.com/share/08933117-0064-4de0-ae71-747550c00c55","https://chat.openai.com/share/08933117-0064-4de0-ae71-747550c00c55")</f>
        <v>https://chat.openai.com/share/08933117-0064-4de0-ae71-747550c00c55</v>
      </c>
      <c r="D11" s="12" t="str">
        <f>HYPERLINK("https://github.com/WordPress/gutenberg/pull/54172","https://github.com/WordPress/gutenberg/pull/54172")</f>
        <v>https://github.com/WordPress/gutenberg/pull/54172</v>
      </c>
      <c r="E11" s="13" t="s">
        <v>17</v>
      </c>
      <c r="F11" s="13" t="s">
        <v>17</v>
      </c>
      <c r="G11" s="13" t="s">
        <v>17</v>
      </c>
      <c r="H11" s="13" t="s">
        <v>18</v>
      </c>
      <c r="I11" s="13" t="s">
        <v>18</v>
      </c>
      <c r="J11" s="13" t="s">
        <v>18</v>
      </c>
      <c r="K11" s="13" t="s">
        <v>19</v>
      </c>
      <c r="L11" s="13" t="s">
        <v>20</v>
      </c>
      <c r="M11" s="13" t="s">
        <v>18</v>
      </c>
      <c r="N11" s="14" t="s">
        <v>21</v>
      </c>
      <c r="O11" s="15" t="s">
        <v>45</v>
      </c>
    </row>
    <row r="12" spans="1:15" ht="30" customHeight="1">
      <c r="A12" s="10" t="s">
        <v>46</v>
      </c>
      <c r="B12" s="11" t="s">
        <v>47</v>
      </c>
      <c r="C12" s="12" t="str">
        <f>HYPERLINK("https://chat.openai.com/share/d68981db-26e1-431c-841d-2bb31096c0c9","https://chat.openai.com/share/d68981db-26e1-431c-841d-2bb31096c0c9")</f>
        <v>https://chat.openai.com/share/d68981db-26e1-431c-841d-2bb31096c0c9</v>
      </c>
      <c r="D12" s="12" t="str">
        <f>HYPERLINK("https://github.com/pokt-network/poktroll/pull/185","https://github.com/pokt-network/poktroll/pull/185")</f>
        <v>https://github.com/pokt-network/poktroll/pull/185</v>
      </c>
      <c r="E12" s="13" t="s">
        <v>17</v>
      </c>
      <c r="F12" s="13" t="s">
        <v>17</v>
      </c>
      <c r="G12" s="13" t="s">
        <v>17</v>
      </c>
      <c r="H12" s="13" t="s">
        <v>18</v>
      </c>
      <c r="I12" s="13" t="s">
        <v>18</v>
      </c>
      <c r="J12" s="13" t="s">
        <v>18</v>
      </c>
      <c r="K12" s="13" t="s">
        <v>19</v>
      </c>
      <c r="L12" s="13" t="s">
        <v>20</v>
      </c>
      <c r="M12" s="13" t="s">
        <v>18</v>
      </c>
      <c r="N12" s="14" t="s">
        <v>21</v>
      </c>
      <c r="O12" s="15" t="s">
        <v>25</v>
      </c>
    </row>
    <row r="13" spans="1:15" ht="30" customHeight="1">
      <c r="A13" s="10" t="s">
        <v>48</v>
      </c>
      <c r="B13" s="11" t="s">
        <v>49</v>
      </c>
      <c r="C13" s="12" t="str">
        <f>HYPERLINK("https://chat.openai.com/share/c7183873-b4c6-4228-9279-0730c085ca1c","https://chat.openai.com/share/c7183873-b4c6-4228-9279-0730c085ca1c")</f>
        <v>https://chat.openai.com/share/c7183873-b4c6-4228-9279-0730c085ca1c</v>
      </c>
      <c r="D13" s="12" t="str">
        <f>HYPERLINK("https://github.com/EthicApp-Development/ethicapp-main/pull/301","https://github.com/EthicApp-Development/ethicapp-main/pull/301")</f>
        <v>https://github.com/EthicApp-Development/ethicapp-main/pull/301</v>
      </c>
      <c r="E13" s="13" t="s">
        <v>17</v>
      </c>
      <c r="F13" s="13" t="s">
        <v>17</v>
      </c>
      <c r="G13" s="13" t="s">
        <v>17</v>
      </c>
      <c r="H13" s="13" t="s">
        <v>18</v>
      </c>
      <c r="I13" s="13" t="s">
        <v>18</v>
      </c>
      <c r="J13" s="13" t="s">
        <v>18</v>
      </c>
      <c r="K13" s="13" t="s">
        <v>19</v>
      </c>
      <c r="L13" s="13" t="s">
        <v>20</v>
      </c>
      <c r="M13" s="13" t="s">
        <v>18</v>
      </c>
      <c r="N13" s="14" t="s">
        <v>21</v>
      </c>
      <c r="O13" s="15" t="s">
        <v>25</v>
      </c>
    </row>
    <row r="14" spans="1:15" ht="30" customHeight="1">
      <c r="A14" s="10" t="s">
        <v>50</v>
      </c>
      <c r="B14" s="11" t="s">
        <v>51</v>
      </c>
      <c r="C14" s="12" t="str">
        <f>HYPERLINK("https://chat.openai.com/share/b85618ff-b1c3-4c28-b36f-44d35556216c","https://chat.openai.com/share/b85618ff-b1c3-4c28-b36f-44d35556216c")</f>
        <v>https://chat.openai.com/share/b85618ff-b1c3-4c28-b36f-44d35556216c</v>
      </c>
      <c r="D14" s="12" t="str">
        <f>HYPERLINK("https://github.com/ory/elements/pull/171","https://github.com/ory/elements/pull/171")</f>
        <v>https://github.com/ory/elements/pull/171</v>
      </c>
      <c r="E14" s="13" t="s">
        <v>17</v>
      </c>
      <c r="F14" s="13" t="s">
        <v>17</v>
      </c>
      <c r="G14" s="13" t="s">
        <v>17</v>
      </c>
      <c r="H14" s="13" t="s">
        <v>18</v>
      </c>
      <c r="I14" s="13" t="s">
        <v>18</v>
      </c>
      <c r="J14" s="13" t="s">
        <v>18</v>
      </c>
      <c r="K14" s="13" t="s">
        <v>19</v>
      </c>
      <c r="L14" s="13" t="s">
        <v>20</v>
      </c>
      <c r="M14" s="13" t="s">
        <v>18</v>
      </c>
      <c r="N14" s="14" t="s">
        <v>21</v>
      </c>
      <c r="O14" s="15" t="s">
        <v>25</v>
      </c>
    </row>
    <row r="15" spans="1:15" ht="30" customHeight="1">
      <c r="A15" s="10" t="s">
        <v>52</v>
      </c>
      <c r="B15" s="11" t="s">
        <v>53</v>
      </c>
      <c r="C15" s="12" t="str">
        <f>HYPERLINK("https://chat.openai.com/share/48bd44b4-13a7-4ff8-9938-2214f0b17f6b","https://chat.openai.com/share/48bd44b4-13a7-4ff8-9938-2214f0b17f6b")</f>
        <v>https://chat.openai.com/share/48bd44b4-13a7-4ff8-9938-2214f0b17f6b</v>
      </c>
      <c r="D15" s="12" t="str">
        <f>HYPERLINK("https://github.com/viets-software-club/truffle-ai-backend/pull/52","https://github.com/viets-software-club/truffle-ai-backend/pull/52")</f>
        <v>https://github.com/viets-software-club/truffle-ai-backend/pull/52</v>
      </c>
      <c r="E15" s="13" t="s">
        <v>17</v>
      </c>
      <c r="F15" s="13" t="s">
        <v>17</v>
      </c>
      <c r="G15" s="13" t="s">
        <v>17</v>
      </c>
      <c r="H15" s="13" t="s">
        <v>18</v>
      </c>
      <c r="I15" s="13" t="s">
        <v>18</v>
      </c>
      <c r="J15" s="13" t="s">
        <v>18</v>
      </c>
      <c r="K15" s="13" t="s">
        <v>19</v>
      </c>
      <c r="L15" s="13" t="s">
        <v>20</v>
      </c>
      <c r="M15" s="13" t="s">
        <v>18</v>
      </c>
      <c r="N15" s="14" t="s">
        <v>21</v>
      </c>
      <c r="O15" s="15" t="s">
        <v>25</v>
      </c>
    </row>
    <row r="16" spans="1:15" ht="30" customHeight="1">
      <c r="A16" s="10" t="s">
        <v>54</v>
      </c>
      <c r="B16" s="11" t="s">
        <v>55</v>
      </c>
      <c r="C16" s="12" t="str">
        <f>HYPERLINK("https://chat.openai.com/share/fad5f67a-2f7e-45a4-a759-18e5b9aa44cb","https://chat.openai.com/share/fad5f67a-2f7e-45a4-a759-18e5b9aa44cb")</f>
        <v>https://chat.openai.com/share/fad5f67a-2f7e-45a4-a759-18e5b9aa44cb</v>
      </c>
      <c r="D16" s="12" t="str">
        <f>HYPERLINK("https://github.com/sveltejs/learn.svelte.dev/pull/522","https://github.com/sveltejs/learn.svelte.dev/pull/522")</f>
        <v>https://github.com/sveltejs/learn.svelte.dev/pull/522</v>
      </c>
      <c r="E16" s="13" t="s">
        <v>17</v>
      </c>
      <c r="F16" s="13" t="s">
        <v>17</v>
      </c>
      <c r="G16" s="13" t="s">
        <v>17</v>
      </c>
      <c r="H16" s="13" t="s">
        <v>18</v>
      </c>
      <c r="I16" s="13" t="s">
        <v>18</v>
      </c>
      <c r="J16" s="13" t="s">
        <v>18</v>
      </c>
      <c r="K16" s="13" t="s">
        <v>19</v>
      </c>
      <c r="L16" s="13" t="s">
        <v>20</v>
      </c>
      <c r="M16" s="13" t="s">
        <v>18</v>
      </c>
      <c r="N16" s="14" t="s">
        <v>21</v>
      </c>
      <c r="O16" s="15" t="s">
        <v>25</v>
      </c>
    </row>
    <row r="17" spans="1:15" ht="30" customHeight="1">
      <c r="A17" s="10" t="s">
        <v>56</v>
      </c>
      <c r="B17" s="11" t="s">
        <v>57</v>
      </c>
      <c r="C17" s="12" t="str">
        <f>HYPERLINK("https://chat.openai.com/share/4f37cdd1-acdb-4539-b134-9d7a54393a45","https://chat.openai.com/share/4f37cdd1-acdb-4539-b134-9d7a54393a45")</f>
        <v>https://chat.openai.com/share/4f37cdd1-acdb-4539-b134-9d7a54393a45</v>
      </c>
      <c r="D17" s="12" t="str">
        <f>HYPERLINK("https://github.com/box/developer.box.com/pull/533","https://github.com/box/developer.box.com/pull/533")</f>
        <v>https://github.com/box/developer.box.com/pull/533</v>
      </c>
      <c r="E17" s="13" t="s">
        <v>17</v>
      </c>
      <c r="F17" s="13" t="s">
        <v>17</v>
      </c>
      <c r="G17" s="13" t="s">
        <v>17</v>
      </c>
      <c r="H17" s="13" t="s">
        <v>18</v>
      </c>
      <c r="I17" s="13" t="s">
        <v>18</v>
      </c>
      <c r="J17" s="13" t="s">
        <v>18</v>
      </c>
      <c r="K17" s="13" t="s">
        <v>19</v>
      </c>
      <c r="L17" s="13" t="s">
        <v>20</v>
      </c>
      <c r="M17" s="13" t="s">
        <v>18</v>
      </c>
      <c r="N17" s="14" t="s">
        <v>21</v>
      </c>
      <c r="O17" s="15" t="s">
        <v>25</v>
      </c>
    </row>
    <row r="18" spans="1:15" ht="30" customHeight="1">
      <c r="A18" s="18" t="s">
        <v>58</v>
      </c>
      <c r="B18" s="19" t="s">
        <v>59</v>
      </c>
      <c r="C18" s="12" t="str">
        <f>HYPERLINK("https://chat.openai.com/share/1489a07a-5d1d-47f0-b35c-c7ba4138f2ff","https://chat.openai.com/share/1489a07a-5d1d-47f0-b35c-c7ba4138f2ff")</f>
        <v>https://chat.openai.com/share/1489a07a-5d1d-47f0-b35c-c7ba4138f2ff</v>
      </c>
      <c r="D18" s="12" t="str">
        <f>HYPERLINK("https://github.com/netdata/netdata/pull/15485","https://github.com/netdata/netdata/pull/15485")</f>
        <v>https://github.com/netdata/netdata/pull/15485</v>
      </c>
      <c r="E18" s="13" t="s">
        <v>17</v>
      </c>
      <c r="F18" s="13" t="s">
        <v>17</v>
      </c>
      <c r="G18" s="13" t="s">
        <v>17</v>
      </c>
      <c r="H18" s="13" t="s">
        <v>18</v>
      </c>
      <c r="I18" s="13" t="s">
        <v>18</v>
      </c>
      <c r="J18" s="13" t="s">
        <v>18</v>
      </c>
      <c r="K18" s="13" t="s">
        <v>41</v>
      </c>
      <c r="L18" s="13" t="s">
        <v>20</v>
      </c>
      <c r="M18" s="13" t="s">
        <v>60</v>
      </c>
      <c r="N18" s="14" t="s">
        <v>61</v>
      </c>
      <c r="O18" s="15" t="s">
        <v>62</v>
      </c>
    </row>
    <row r="19" spans="1:15" ht="30" customHeight="1">
      <c r="A19" s="10" t="s">
        <v>63</v>
      </c>
      <c r="B19" s="11" t="s">
        <v>64</v>
      </c>
      <c r="C19" s="12" t="str">
        <f>HYPERLINK("https://chat.openai.com/share/d072619d-6c1e-4f43-9549-711713cf33d9","https://chat.openai.com/share/d072619d-6c1e-4f43-9549-711713cf33d9")</f>
        <v>https://chat.openai.com/share/d072619d-6c1e-4f43-9549-711713cf33d9</v>
      </c>
      <c r="D19" s="12" t="str">
        <f>HYPERLINK("https://github.com/open-learning-exchange/myplanet/pull/2231","https://github.com/open-learning-exchange/myplanet/pull/2231")</f>
        <v>https://github.com/open-learning-exchange/myplanet/pull/2231</v>
      </c>
      <c r="E19" s="13" t="s">
        <v>17</v>
      </c>
      <c r="F19" s="13" t="s">
        <v>17</v>
      </c>
      <c r="G19" s="13" t="s">
        <v>17</v>
      </c>
      <c r="H19" s="13" t="s">
        <v>18</v>
      </c>
      <c r="I19" s="13" t="s">
        <v>18</v>
      </c>
      <c r="J19" s="13" t="s">
        <v>18</v>
      </c>
      <c r="K19" s="13" t="s">
        <v>19</v>
      </c>
      <c r="L19" s="13" t="s">
        <v>20</v>
      </c>
      <c r="M19" s="13" t="s">
        <v>18</v>
      </c>
      <c r="N19" s="14" t="s">
        <v>21</v>
      </c>
      <c r="O19" s="15" t="s">
        <v>25</v>
      </c>
    </row>
    <row r="20" spans="1:15" ht="30" customHeight="1">
      <c r="A20" s="20" t="s">
        <v>65</v>
      </c>
      <c r="B20" s="21" t="s">
        <v>66</v>
      </c>
      <c r="C20" s="12" t="str">
        <f>HYPERLINK("https://chat.openai.com/share/51f3aa63-d8aa-4ff7-aca1-608fcf9ab9ee","https://chat.openai.com/share/51f3aa63-d8aa-4ff7-aca1-608fcf9ab9ee")</f>
        <v>https://chat.openai.com/share/51f3aa63-d8aa-4ff7-aca1-608fcf9ab9ee</v>
      </c>
      <c r="D20" s="12" t="str">
        <f>HYPERLINK("https://github.com/nylas/nylas-python/pull/279","https://github.com/nylas/nylas-python/pull/279")</f>
        <v>https://github.com/nylas/nylas-python/pull/279</v>
      </c>
      <c r="E20" s="13" t="s">
        <v>17</v>
      </c>
      <c r="F20" s="13" t="s">
        <v>17</v>
      </c>
      <c r="G20" s="13" t="s">
        <v>17</v>
      </c>
      <c r="H20" s="13" t="s">
        <v>18</v>
      </c>
      <c r="I20" s="13" t="s">
        <v>18</v>
      </c>
      <c r="J20" s="13" t="s">
        <v>18</v>
      </c>
      <c r="K20" s="13" t="s">
        <v>19</v>
      </c>
      <c r="L20" s="13" t="s">
        <v>20</v>
      </c>
      <c r="M20" s="13" t="s">
        <v>18</v>
      </c>
      <c r="N20" s="14" t="s">
        <v>21</v>
      </c>
      <c r="O20" s="15" t="s">
        <v>25</v>
      </c>
    </row>
    <row r="21" spans="1:15" ht="30" customHeight="1">
      <c r="A21" s="10" t="s">
        <v>67</v>
      </c>
      <c r="B21" s="11" t="s">
        <v>68</v>
      </c>
      <c r="C21" s="12" t="str">
        <f>HYPERLINK("https://chat.openai.com/share/99718495-28d0-4382-ab5e-6a4a733c1ccb","https://chat.openai.com/share/99718495-28d0-4382-ab5e-6a4a733c1ccb")</f>
        <v>https://chat.openai.com/share/99718495-28d0-4382-ab5e-6a4a733c1ccb</v>
      </c>
      <c r="D21" s="12" t="str">
        <f>HYPERLINK("https://github.com/PrivateBin/PrivateBin/pull/1134","https://github.com/PrivateBin/PrivateBin/pull/1134")</f>
        <v>https://github.com/PrivateBin/PrivateBin/pull/1134</v>
      </c>
      <c r="E21" s="13" t="s">
        <v>17</v>
      </c>
      <c r="F21" s="13" t="s">
        <v>17</v>
      </c>
      <c r="G21" s="13" t="s">
        <v>17</v>
      </c>
      <c r="H21" s="13" t="s">
        <v>18</v>
      </c>
      <c r="I21" s="13" t="s">
        <v>18</v>
      </c>
      <c r="J21" s="13" t="s">
        <v>18</v>
      </c>
      <c r="K21" s="13" t="s">
        <v>19</v>
      </c>
      <c r="L21" s="13" t="s">
        <v>20</v>
      </c>
      <c r="M21" s="13" t="s">
        <v>18</v>
      </c>
      <c r="N21" s="14" t="s">
        <v>21</v>
      </c>
      <c r="O21" s="15" t="s">
        <v>25</v>
      </c>
    </row>
    <row r="22" spans="1:15" ht="30" customHeight="1">
      <c r="A22" s="10" t="s">
        <v>69</v>
      </c>
      <c r="B22" s="11" t="s">
        <v>70</v>
      </c>
      <c r="C22" s="12" t="str">
        <f>HYPERLINK("https://chat.openai.com/share/f59d66c4-fe99-4ad3-83cf-cf4ffab427bd","https://chat.openai.com/share/f59d66c4-fe99-4ad3-83cf-cf4ffab427bd")</f>
        <v>https://chat.openai.com/share/f59d66c4-fe99-4ad3-83cf-cf4ffab427bd</v>
      </c>
      <c r="D22" s="12" t="str">
        <f>HYPERLINK("https://github.com/polywrap/evo.ninja/pull/206","https://github.com/polywrap/evo.ninja/pull/206")</f>
        <v>https://github.com/polywrap/evo.ninja/pull/206</v>
      </c>
      <c r="E22" s="13" t="s">
        <v>17</v>
      </c>
      <c r="F22" s="13" t="s">
        <v>17</v>
      </c>
      <c r="G22" s="13" t="s">
        <v>17</v>
      </c>
      <c r="H22" s="13" t="s">
        <v>18</v>
      </c>
      <c r="I22" s="13" t="s">
        <v>18</v>
      </c>
      <c r="J22" s="13" t="s">
        <v>18</v>
      </c>
      <c r="K22" s="13" t="s">
        <v>19</v>
      </c>
      <c r="L22" s="13" t="s">
        <v>20</v>
      </c>
      <c r="M22" s="13" t="s">
        <v>18</v>
      </c>
      <c r="N22" s="14" t="s">
        <v>21</v>
      </c>
      <c r="O22" s="15" t="s">
        <v>25</v>
      </c>
    </row>
    <row r="23" spans="1:15" ht="30" customHeight="1">
      <c r="A23" s="10" t="s">
        <v>71</v>
      </c>
      <c r="B23" s="11" t="s">
        <v>72</v>
      </c>
      <c r="C23" s="12" t="str">
        <f>HYPERLINK("https://chat.openai.com/share/88524905-a324-4a6c-b54e-96d26ad06def","https://chat.openai.com/share/88524905-a324-4a6c-b54e-96d26ad06def")</f>
        <v>https://chat.openai.com/share/88524905-a324-4a6c-b54e-96d26ad06def</v>
      </c>
      <c r="D23" s="12" t="str">
        <f>HYPERLINK("https://github.com/VOICEVOX/voicevox/pull/1836","https://github.com/VOICEVOX/voicevox/pull/1836")</f>
        <v>https://github.com/VOICEVOX/voicevox/pull/1836</v>
      </c>
      <c r="E23" s="13" t="s">
        <v>17</v>
      </c>
      <c r="F23" s="13" t="s">
        <v>17</v>
      </c>
      <c r="G23" s="13" t="s">
        <v>17</v>
      </c>
      <c r="H23" s="13" t="s">
        <v>18</v>
      </c>
      <c r="I23" s="13" t="s">
        <v>18</v>
      </c>
      <c r="J23" s="13" t="s">
        <v>18</v>
      </c>
      <c r="K23" s="13" t="s">
        <v>19</v>
      </c>
      <c r="L23" s="13" t="s">
        <v>20</v>
      </c>
      <c r="M23" s="13" t="s">
        <v>18</v>
      </c>
      <c r="N23" s="14" t="s">
        <v>21</v>
      </c>
      <c r="O23" s="15" t="s">
        <v>25</v>
      </c>
    </row>
    <row r="24" spans="1:15" ht="30" customHeight="1">
      <c r="A24" s="10" t="s">
        <v>73</v>
      </c>
      <c r="B24" s="11" t="s">
        <v>74</v>
      </c>
      <c r="C24" s="12" t="str">
        <f>HYPERLINK("https://chat.openai.com/share/9437d9ca-6365-4070-b11b-9c31cede7a2a","https://chat.openai.com/share/9437d9ca-6365-4070-b11b-9c31cede7a2a")</f>
        <v>https://chat.openai.com/share/9437d9ca-6365-4070-b11b-9c31cede7a2a</v>
      </c>
      <c r="D24" s="12" t="str">
        <f>HYPERLINK("https://github.com/codeigniter4/CodeIgniter4/pull/8230","https://github.com/codeigniter4/CodeIgniter4/pull/8230")</f>
        <v>https://github.com/codeigniter4/CodeIgniter4/pull/8230</v>
      </c>
      <c r="E24" s="13" t="s">
        <v>17</v>
      </c>
      <c r="F24" s="13" t="s">
        <v>17</v>
      </c>
      <c r="G24" s="13" t="s">
        <v>17</v>
      </c>
      <c r="H24" s="13" t="s">
        <v>18</v>
      </c>
      <c r="I24" s="13" t="s">
        <v>18</v>
      </c>
      <c r="J24" s="13" t="s">
        <v>18</v>
      </c>
      <c r="K24" s="13" t="s">
        <v>19</v>
      </c>
      <c r="L24" s="13" t="s">
        <v>20</v>
      </c>
      <c r="M24" s="13" t="s">
        <v>18</v>
      </c>
      <c r="N24" s="14" t="s">
        <v>21</v>
      </c>
      <c r="O24" s="15" t="s">
        <v>25</v>
      </c>
    </row>
    <row r="25" spans="1:15" ht="30" customHeight="1">
      <c r="A25" s="10" t="s">
        <v>75</v>
      </c>
      <c r="B25" s="11" t="s">
        <v>76</v>
      </c>
      <c r="C25" s="12" t="str">
        <f>HYPERLINK("https://chat.openai.com/share/02544161-0bdf-4b7e-8644-18d39aa174ff","https://chat.openai.com/share/02544161-0bdf-4b7e-8644-18d39aa174ff")</f>
        <v>https://chat.openai.com/share/02544161-0bdf-4b7e-8644-18d39aa174ff</v>
      </c>
      <c r="D25" s="12" t="str">
        <f>HYPERLINK("https://github.com/UNLV-CS472-672/2024-S-GROUP1-Roadwatch/pull/120","https://github.com/UNLV-CS472-672/2024-S-GROUP1-Roadwatch/pull/120")</f>
        <v>https://github.com/UNLV-CS472-672/2024-S-GROUP1-Roadwatch/pull/120</v>
      </c>
      <c r="E25" s="13" t="s">
        <v>17</v>
      </c>
      <c r="F25" s="13" t="s">
        <v>17</v>
      </c>
      <c r="G25" s="13" t="s">
        <v>17</v>
      </c>
      <c r="H25" s="13" t="s">
        <v>18</v>
      </c>
      <c r="I25" s="13" t="s">
        <v>18</v>
      </c>
      <c r="J25" s="13" t="s">
        <v>18</v>
      </c>
      <c r="K25" s="13" t="s">
        <v>19</v>
      </c>
      <c r="L25" s="13" t="s">
        <v>20</v>
      </c>
      <c r="M25" s="13" t="s">
        <v>18</v>
      </c>
      <c r="N25" s="14" t="s">
        <v>21</v>
      </c>
      <c r="O25" s="15" t="s">
        <v>25</v>
      </c>
    </row>
    <row r="26" spans="1:15" ht="30" customHeight="1">
      <c r="A26" s="10" t="s">
        <v>77</v>
      </c>
      <c r="B26" s="11" t="s">
        <v>78</v>
      </c>
      <c r="C26" s="12" t="str">
        <f>HYPERLINK("https://chat.openai.com/share/e3e3871f-4acd-4959-94a3-d260c84f8ede","https://chat.openai.com/share/e3e3871f-4acd-4959-94a3-d260c84f8ede")</f>
        <v>https://chat.openai.com/share/e3e3871f-4acd-4959-94a3-d260c84f8ede</v>
      </c>
      <c r="D26" s="12" t="str">
        <f>HYPERLINK("https://github.com/uchicago-cs/chigame/pull/265","https://github.com/uchicago-cs/chigame/pull/265")</f>
        <v>https://github.com/uchicago-cs/chigame/pull/265</v>
      </c>
      <c r="E26" s="13" t="s">
        <v>17</v>
      </c>
      <c r="F26" s="13" t="s">
        <v>17</v>
      </c>
      <c r="G26" s="13" t="s">
        <v>17</v>
      </c>
      <c r="H26" s="13" t="s">
        <v>18</v>
      </c>
      <c r="I26" s="13" t="s">
        <v>18</v>
      </c>
      <c r="J26" s="13" t="s">
        <v>18</v>
      </c>
      <c r="K26" s="13" t="s">
        <v>19</v>
      </c>
      <c r="L26" s="13" t="s">
        <v>20</v>
      </c>
      <c r="M26" s="13" t="s">
        <v>18</v>
      </c>
      <c r="N26" s="14" t="s">
        <v>21</v>
      </c>
      <c r="O26" s="15" t="s">
        <v>25</v>
      </c>
    </row>
    <row r="27" spans="1:15" ht="30" customHeight="1">
      <c r="A27" s="10" t="s">
        <v>79</v>
      </c>
      <c r="B27" s="11" t="s">
        <v>80</v>
      </c>
      <c r="C27" s="12" t="str">
        <f>HYPERLINK("https://chat.openai.com/share/ca2eab25-4e1e-4688-9be5-43a179a0ec4f","https://chat.openai.com/share/ca2eab25-4e1e-4688-9be5-43a179a0ec4f")</f>
        <v>https://chat.openai.com/share/ca2eab25-4e1e-4688-9be5-43a179a0ec4f</v>
      </c>
      <c r="D27" s="12" t="str">
        <f>HYPERLINK("https://github.com/SSWConsulting/SSW.Website/pull/931","https://github.com/SSWConsulting/SSW.Website/pull/931")</f>
        <v>https://github.com/SSWConsulting/SSW.Website/pull/931</v>
      </c>
      <c r="E27" s="13" t="s">
        <v>17</v>
      </c>
      <c r="F27" s="13" t="s">
        <v>17</v>
      </c>
      <c r="G27" s="13" t="s">
        <v>17</v>
      </c>
      <c r="H27" s="13" t="s">
        <v>18</v>
      </c>
      <c r="I27" s="13" t="s">
        <v>18</v>
      </c>
      <c r="J27" s="13" t="s">
        <v>18</v>
      </c>
      <c r="K27" s="13" t="s">
        <v>19</v>
      </c>
      <c r="L27" s="13" t="s">
        <v>20</v>
      </c>
      <c r="M27" s="13" t="s">
        <v>18</v>
      </c>
      <c r="N27" s="14" t="s">
        <v>21</v>
      </c>
      <c r="O27" s="15" t="s">
        <v>25</v>
      </c>
    </row>
    <row r="28" spans="1:15" ht="30" customHeight="1">
      <c r="A28" s="10" t="s">
        <v>81</v>
      </c>
      <c r="B28" s="11" t="s">
        <v>82</v>
      </c>
      <c r="C28" s="12" t="str">
        <f>HYPERLINK("https://chat.openai.com/share/16789f4e-aa4b-4baa-bef3-eab3170ab67d","https://chat.openai.com/share/16789f4e-aa4b-4baa-bef3-eab3170ab67d")</f>
        <v>https://chat.openai.com/share/16789f4e-aa4b-4baa-bef3-eab3170ab67d</v>
      </c>
      <c r="D28" s="12" t="str">
        <f>HYPERLINK("https://github.com/VOICEVOX/voicevox_engine/pull/1122","https://github.com/VOICEVOX/voicevox_engine/pull/1122")</f>
        <v>https://github.com/VOICEVOX/voicevox_engine/pull/1122</v>
      </c>
      <c r="E28" s="13" t="s">
        <v>17</v>
      </c>
      <c r="F28" s="13" t="s">
        <v>17</v>
      </c>
      <c r="G28" s="13" t="s">
        <v>17</v>
      </c>
      <c r="H28" s="13" t="s">
        <v>18</v>
      </c>
      <c r="I28" s="13" t="s">
        <v>18</v>
      </c>
      <c r="J28" s="13" t="s">
        <v>18</v>
      </c>
      <c r="K28" s="13" t="s">
        <v>19</v>
      </c>
      <c r="L28" s="13" t="s">
        <v>20</v>
      </c>
      <c r="M28" s="13" t="s">
        <v>18</v>
      </c>
      <c r="N28" s="14" t="s">
        <v>21</v>
      </c>
      <c r="O28" s="15" t="s">
        <v>25</v>
      </c>
    </row>
    <row r="29" spans="1:15" ht="30" customHeight="1">
      <c r="A29" s="10" t="s">
        <v>83</v>
      </c>
      <c r="B29" s="11" t="s">
        <v>84</v>
      </c>
      <c r="C29" s="12" t="str">
        <f>HYPERLINK("https://chat.openai.com/share/eefd3861-16f7-4850-ac63-998784264c7b","https://chat.openai.com/share/eefd3861-16f7-4850-ac63-998784264c7b")</f>
        <v>https://chat.openai.com/share/eefd3861-16f7-4850-ac63-998784264c7b</v>
      </c>
      <c r="D29" s="12" t="str">
        <f>HYPERLINK("https://github.com/netket/netket/pull/1631","https://github.com/netket/netket/pull/1631")</f>
        <v>https://github.com/netket/netket/pull/1631</v>
      </c>
      <c r="E29" s="13" t="s">
        <v>17</v>
      </c>
      <c r="F29" s="13" t="s">
        <v>17</v>
      </c>
      <c r="G29" s="13" t="s">
        <v>17</v>
      </c>
      <c r="H29" s="13" t="s">
        <v>18</v>
      </c>
      <c r="I29" s="13" t="s">
        <v>18</v>
      </c>
      <c r="J29" s="13" t="s">
        <v>18</v>
      </c>
      <c r="K29" s="13" t="s">
        <v>19</v>
      </c>
      <c r="L29" s="13" t="s">
        <v>20</v>
      </c>
      <c r="M29" s="13" t="s">
        <v>18</v>
      </c>
      <c r="N29" s="14" t="s">
        <v>21</v>
      </c>
      <c r="O29" s="15" t="s">
        <v>25</v>
      </c>
    </row>
    <row r="30" spans="1:15" ht="30" customHeight="1">
      <c r="A30" s="10" t="s">
        <v>85</v>
      </c>
      <c r="B30" s="11" t="s">
        <v>86</v>
      </c>
      <c r="C30" s="12" t="str">
        <f>HYPERLINK("https://chat.openai.com/share/85e06c91-586d-4872-835e-1ef91a69e56f","https://chat.openai.com/share/85e06c91-586d-4872-835e-1ef91a69e56f")</f>
        <v>https://chat.openai.com/share/85e06c91-586d-4872-835e-1ef91a69e56f</v>
      </c>
      <c r="D30" s="12" t="str">
        <f>HYPERLINK("https://github.com/VOICEVOX/voicevox/pull/1621","https://github.com/VOICEVOX/voicevox/pull/1621")</f>
        <v>https://github.com/VOICEVOX/voicevox/pull/1621</v>
      </c>
      <c r="E30" s="13" t="s">
        <v>17</v>
      </c>
      <c r="F30" s="13" t="s">
        <v>17</v>
      </c>
      <c r="G30" s="13" t="s">
        <v>17</v>
      </c>
      <c r="H30" s="13" t="s">
        <v>18</v>
      </c>
      <c r="I30" s="13" t="s">
        <v>18</v>
      </c>
      <c r="J30" s="13" t="s">
        <v>18</v>
      </c>
      <c r="K30" s="13" t="s">
        <v>19</v>
      </c>
      <c r="L30" s="13" t="s">
        <v>20</v>
      </c>
      <c r="M30" s="13" t="s">
        <v>18</v>
      </c>
      <c r="N30" s="14" t="s">
        <v>21</v>
      </c>
      <c r="O30" s="15" t="s">
        <v>25</v>
      </c>
    </row>
    <row r="31" spans="1:15" ht="30" customHeight="1">
      <c r="A31" s="20" t="s">
        <v>87</v>
      </c>
      <c r="B31" s="11" t="s">
        <v>88</v>
      </c>
      <c r="C31" s="12" t="str">
        <f>HYPERLINK("https://chat.openai.com/share/1e410029-c111-4fde-be74-6c4e792d0722","https://chat.openai.com/share/1e410029-c111-4fde-be74-6c4e792d0722")</f>
        <v>https://chat.openai.com/share/1e410029-c111-4fde-be74-6c4e792d0722</v>
      </c>
      <c r="D31" s="12" t="str">
        <f>HYPERLINK("https://github.com/StuartGavidia/businessapp/pull/35","https://github.com/StuartGavidia/businessapp/pull/35")</f>
        <v>https://github.com/StuartGavidia/businessapp/pull/35</v>
      </c>
      <c r="E31" s="13" t="s">
        <v>17</v>
      </c>
      <c r="F31" s="13" t="s">
        <v>17</v>
      </c>
      <c r="G31" s="13" t="s">
        <v>17</v>
      </c>
      <c r="H31" s="13" t="s">
        <v>18</v>
      </c>
      <c r="I31" s="13" t="s">
        <v>18</v>
      </c>
      <c r="J31" s="13" t="s">
        <v>18</v>
      </c>
      <c r="K31" s="13" t="s">
        <v>19</v>
      </c>
      <c r="L31" s="13" t="s">
        <v>20</v>
      </c>
      <c r="M31" s="13" t="s">
        <v>18</v>
      </c>
      <c r="N31" s="14" t="s">
        <v>21</v>
      </c>
      <c r="O31" s="15" t="s">
        <v>89</v>
      </c>
    </row>
    <row r="32" spans="1:15" ht="30" customHeight="1">
      <c r="A32" s="10" t="s">
        <v>90</v>
      </c>
      <c r="B32" s="11" t="s">
        <v>91</v>
      </c>
      <c r="C32" s="12" t="str">
        <f>HYPERLINK("https://chat.openai.com/share/2bd66613-5dc1-427e-9277-fb45b317438a","https://chat.openai.com/share/2bd66613-5dc1-427e-9277-fb45b317438a")</f>
        <v>https://chat.openai.com/share/2bd66613-5dc1-427e-9277-fb45b317438a</v>
      </c>
      <c r="D32" s="12" t="str">
        <f>HYPERLINK("https://github.com/pyspark-ai/pyspark-ai/pull/157","https://github.com/pyspark-ai/pyspark-ai/pull/157")</f>
        <v>https://github.com/pyspark-ai/pyspark-ai/pull/157</v>
      </c>
      <c r="E32" s="13" t="s">
        <v>17</v>
      </c>
      <c r="F32" s="13" t="s">
        <v>17</v>
      </c>
      <c r="G32" s="13" t="s">
        <v>17</v>
      </c>
      <c r="H32" s="13" t="s">
        <v>18</v>
      </c>
      <c r="I32" s="13" t="s">
        <v>18</v>
      </c>
      <c r="J32" s="13" t="s">
        <v>18</v>
      </c>
      <c r="K32" s="13" t="s">
        <v>19</v>
      </c>
      <c r="L32" s="13" t="s">
        <v>20</v>
      </c>
      <c r="M32" s="13" t="s">
        <v>18</v>
      </c>
      <c r="N32" s="14" t="s">
        <v>21</v>
      </c>
      <c r="O32" s="15" t="s">
        <v>25</v>
      </c>
    </row>
    <row r="33" spans="1:15" ht="30" customHeight="1">
      <c r="A33" s="22" t="s">
        <v>92</v>
      </c>
      <c r="B33" s="23" t="s">
        <v>93</v>
      </c>
      <c r="C33" s="12" t="str">
        <f>HYPERLINK("https://chat.openai.com/share/944c67d3-555e-4524-b2f0-81481f9cd5ba","https://chat.openai.com/share/944c67d3-555e-4524-b2f0-81481f9cd5ba")</f>
        <v>https://chat.openai.com/share/944c67d3-555e-4524-b2f0-81481f9cd5ba</v>
      </c>
      <c r="D33" s="12" t="str">
        <f>HYPERLINK("https://github.com/MrNeRF/gaussian-splatting-cuda/pull/23","https://github.com/MrNeRF/gaussian-splatting-cuda/pull/23")</f>
        <v>https://github.com/MrNeRF/gaussian-splatting-cuda/pull/23</v>
      </c>
      <c r="E33" s="13" t="s">
        <v>17</v>
      </c>
      <c r="F33" s="13" t="s">
        <v>17</v>
      </c>
      <c r="G33" s="13" t="s">
        <v>17</v>
      </c>
      <c r="H33" s="13" t="s">
        <v>18</v>
      </c>
      <c r="I33" s="13" t="s">
        <v>18</v>
      </c>
      <c r="J33" s="13" t="s">
        <v>18</v>
      </c>
      <c r="K33" s="13" t="s">
        <v>19</v>
      </c>
      <c r="L33" s="13" t="s">
        <v>20</v>
      </c>
      <c r="M33" s="13" t="s">
        <v>18</v>
      </c>
      <c r="N33" s="14" t="s">
        <v>21</v>
      </c>
      <c r="O33" s="15" t="s">
        <v>25</v>
      </c>
    </row>
    <row r="34" spans="1:15" ht="30" customHeight="1">
      <c r="A34" s="24" t="s">
        <v>94</v>
      </c>
      <c r="B34" s="25" t="s">
        <v>95</v>
      </c>
      <c r="C34" s="26" t="str">
        <f>HYPERLINK("https://chat.openai.com/share/be37cf76-8d76-4db7-a056-129e216f0fad","https://chat.openai.com/share/be37cf76-8d76-4db7-a056-129e216f0fad")</f>
        <v>https://chat.openai.com/share/be37cf76-8d76-4db7-a056-129e216f0fad</v>
      </c>
      <c r="D34" s="26" t="str">
        <f>HYPERLINK("https://github.com/jaoafa/VCSpeaker.kt/pull/70","https://github.com/jaoafa/VCSpeaker.kt/pull/70")</f>
        <v>https://github.com/jaoafa/VCSpeaker.kt/pull/70</v>
      </c>
      <c r="E34" s="27" t="s">
        <v>17</v>
      </c>
      <c r="F34" s="27" t="s">
        <v>17</v>
      </c>
      <c r="G34" s="27" t="s">
        <v>17</v>
      </c>
      <c r="H34" s="27" t="s">
        <v>18</v>
      </c>
      <c r="I34" s="27" t="s">
        <v>18</v>
      </c>
      <c r="J34" s="27" t="s">
        <v>18</v>
      </c>
      <c r="K34" s="27" t="s">
        <v>19</v>
      </c>
      <c r="L34" s="27" t="s">
        <v>20</v>
      </c>
      <c r="M34" s="27" t="s">
        <v>18</v>
      </c>
      <c r="N34" s="28" t="s">
        <v>21</v>
      </c>
      <c r="O34" s="29" t="s">
        <v>25</v>
      </c>
    </row>
    <row r="35" spans="1:15" ht="15.75" customHeight="1"/>
    <row r="36" spans="1:15" ht="15.75" customHeight="1"/>
    <row r="37" spans="1:15" ht="15.75" customHeight="1"/>
    <row r="38" spans="1:15" ht="15.75" customHeight="1"/>
    <row r="39" spans="1:15" ht="15.75" customHeight="1"/>
    <row r="40" spans="1:15" ht="15.75" customHeight="1"/>
    <row r="41" spans="1:15" ht="15.75" customHeight="1"/>
    <row r="42" spans="1:15" ht="15.75" customHeight="1"/>
    <row r="43" spans="1:15" ht="15.75" customHeight="1"/>
    <row r="44" spans="1:15" ht="15.75" customHeight="1"/>
    <row r="45" spans="1:15" ht="15.75" customHeight="1"/>
    <row r="46" spans="1:15" ht="15.75" customHeight="1"/>
    <row r="47" spans="1:15" ht="15.75" customHeight="1"/>
    <row r="48" spans="1: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5">
    <dataValidation type="list" allowBlank="1" sqref="M2:M34" xr:uid="{00000000-0002-0000-0000-000000000000}">
      <formula1>"correct,needs_correction,uncertain"</formula1>
    </dataValidation>
    <dataValidation type="list" allowBlank="1" sqref="K2:K34" xr:uid="{00000000-0002-0000-0000-000001000000}">
      <formula1>"none,context,specificity,verification,multiple,uncertain"</formula1>
    </dataValidation>
    <dataValidation type="list" allowBlank="1" sqref="E2:G34" xr:uid="{00000000-0002-0000-0000-000002000000}">
      <formula1>"yes,no,uncertain"</formula1>
    </dataValidation>
    <dataValidation type="list" allowBlank="1" sqref="H2:J34" xr:uid="{00000000-0002-0000-0000-000003000000}">
      <formula1>"correct,partially_correct,incorrect,uncertain"</formula1>
    </dataValidation>
    <dataValidation type="list" allowBlank="1" sqref="L2:L34" xr:uid="{00000000-0002-0000-0000-000004000000}">
      <formula1>"no,yes,uncertain"</formula1>
    </dataValidation>
  </dataValidations>
  <pageMargins left="0.7" right="0.7" top="0.75" bottom="0.75" header="0" footer="0"/>
  <pageSetup orientation="landscape"/>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showGridLines="0" workbookViewId="0"/>
  </sheetViews>
  <sheetFormatPr baseColWidth="10" defaultColWidth="12.6640625" defaultRowHeight="15" customHeight="1"/>
  <cols>
    <col min="1" max="1" width="28" customWidth="1"/>
    <col min="2" max="2" width="100" customWidth="1"/>
    <col min="3" max="26" width="8.6640625" customWidth="1"/>
  </cols>
  <sheetData>
    <row r="1" spans="1:2" ht="33.75" customHeight="1">
      <c r="A1" s="30" t="s">
        <v>96</v>
      </c>
      <c r="B1" s="31" t="s">
        <v>97</v>
      </c>
    </row>
    <row r="2" spans="1:2" ht="33.75" customHeight="1">
      <c r="A2" s="32" t="s">
        <v>98</v>
      </c>
      <c r="B2" s="33" t="s">
        <v>99</v>
      </c>
    </row>
    <row r="3" spans="1:2" ht="33.75" customHeight="1">
      <c r="A3" s="32" t="s">
        <v>100</v>
      </c>
      <c r="B3" s="33" t="s">
        <v>101</v>
      </c>
    </row>
    <row r="4" spans="1:2" ht="33.75" customHeight="1">
      <c r="A4" s="32" t="s">
        <v>102</v>
      </c>
      <c r="B4" s="33" t="s">
        <v>103</v>
      </c>
    </row>
    <row r="5" spans="1:2" ht="33.75" customHeight="1">
      <c r="A5" s="32" t="s">
        <v>104</v>
      </c>
      <c r="B5" s="33" t="s">
        <v>105</v>
      </c>
    </row>
    <row r="6" spans="1:2" ht="33.75" customHeight="1">
      <c r="A6" s="32" t="s">
        <v>4</v>
      </c>
      <c r="B6" s="33" t="s">
        <v>106</v>
      </c>
    </row>
    <row r="7" spans="1:2" ht="33.75" customHeight="1">
      <c r="A7" s="32" t="s">
        <v>5</v>
      </c>
      <c r="B7" s="33" t="s">
        <v>106</v>
      </c>
    </row>
    <row r="8" spans="1:2" ht="33.75" customHeight="1">
      <c r="A8" s="32" t="s">
        <v>6</v>
      </c>
      <c r="B8" s="33" t="s">
        <v>106</v>
      </c>
    </row>
    <row r="9" spans="1:2" ht="33.75" customHeight="1">
      <c r="A9" s="32" t="s">
        <v>7</v>
      </c>
      <c r="B9" s="33" t="s">
        <v>107</v>
      </c>
    </row>
    <row r="10" spans="1:2" ht="33.75" customHeight="1">
      <c r="A10" s="32" t="s">
        <v>8</v>
      </c>
      <c r="B10" s="33" t="s">
        <v>107</v>
      </c>
    </row>
    <row r="11" spans="1:2" ht="33.75" customHeight="1">
      <c r="A11" s="32" t="s">
        <v>9</v>
      </c>
      <c r="B11" s="33" t="s">
        <v>107</v>
      </c>
    </row>
    <row r="12" spans="1:2" ht="33.75" customHeight="1">
      <c r="A12" s="32" t="s">
        <v>10</v>
      </c>
      <c r="B12" s="33" t="s">
        <v>108</v>
      </c>
    </row>
    <row r="13" spans="1:2" ht="33.75" customHeight="1">
      <c r="A13" s="32" t="s">
        <v>11</v>
      </c>
      <c r="B13" s="33" t="s">
        <v>109</v>
      </c>
    </row>
    <row r="14" spans="1:2" ht="33.75" customHeight="1">
      <c r="A14" s="32" t="s">
        <v>12</v>
      </c>
      <c r="B14" s="33" t="s">
        <v>110</v>
      </c>
    </row>
    <row r="15" spans="1:2" ht="33.75" customHeight="1">
      <c r="A15" s="32" t="s">
        <v>13</v>
      </c>
      <c r="B15" s="33" t="s">
        <v>111</v>
      </c>
    </row>
    <row r="16" spans="1:2" ht="33.75" customHeight="1">
      <c r="A16" s="34" t="s">
        <v>14</v>
      </c>
      <c r="B16" s="35" t="s">
        <v>112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Review</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Richard Sserunjogi</cp:lastModifiedBy>
  <dcterms:created xsi:type="dcterms:W3CDTF">2026-10-15T20:02:25Z</dcterms:created>
  <dcterms:modified xsi:type="dcterms:W3CDTF">2026-10-15T20:02:26Z</dcterms:modified>
</cp:coreProperties>
</file>